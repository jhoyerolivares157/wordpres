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fredo\Desktop\PRODUCTOS Y ARTICULOS\BASE DE DATOS DE VESTIMENTA\"/>
    </mc:Choice>
  </mc:AlternateContent>
  <xr:revisionPtr revIDLastSave="0" documentId="13_ncr:1_{786E808C-ABA9-42ED-909F-6835EB0E4776}" xr6:coauthVersionLast="47" xr6:coauthVersionMax="47" xr10:uidLastSave="{00000000-0000-0000-0000-000000000000}"/>
  <bookViews>
    <workbookView xWindow="11544" yWindow="0" windowWidth="10656" windowHeight="12360" xr2:uid="{6DA46AD4-64E2-4D41-8FDC-861F8631D7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5" i="1" l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4" i="1"/>
  <c r="U5" i="1"/>
  <c r="U6" i="1"/>
  <c r="U7" i="1"/>
  <c r="U8" i="1"/>
  <c r="U9" i="1"/>
  <c r="U10" i="1"/>
  <c r="U11" i="1"/>
  <c r="U12" i="1"/>
  <c r="U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4" i="1"/>
  <c r="AS5" i="1"/>
  <c r="AS6" i="1"/>
  <c r="AS7" i="1"/>
  <c r="AS4" i="1"/>
</calcChain>
</file>

<file path=xl/sharedStrings.xml><?xml version="1.0" encoding="utf-8"?>
<sst xmlns="http://schemas.openxmlformats.org/spreadsheetml/2006/main" count="169" uniqueCount="139">
  <si>
    <t>URL</t>
  </si>
  <si>
    <t>NOMBRE</t>
  </si>
  <si>
    <t>CODIGO</t>
  </si>
  <si>
    <t>PRECIO/COSTO</t>
  </si>
  <si>
    <t>VENTA</t>
  </si>
  <si>
    <t>MODAS DE MUJERES</t>
  </si>
  <si>
    <t>North Star Zapatillas Urbana Mujer Tam</t>
  </si>
  <si>
    <t>https://articulo.mercadolibre.com.pe/MPE-621976170-north-star-zapatillas-urbana-mujer-tam-_JM?searchVariation=175817554407#searchVariation=175817554407&amp;position=4&amp;search_layout=grid&amp;type=item&amp;tracking_id=786acde9-2181-4838-806a-1e719e7dc2b2</t>
  </si>
  <si>
    <t>Zapatillas adidas Mujer Urbanas Court Plataforma | Gv8995</t>
  </si>
  <si>
    <t>https://articulo.mercadolibre.com.pe/MPE-627859357-zapatillas-adidas-mujer-urbanas-court-plataforma-gv8995-_JM?searchVariation=176841943650#searchVariation=176841943650&amp;position=6&amp;search_layout=grid&amp;type=item&amp;tracking_id=eda1cecc-aadb-459d-ab8d-599384f09e7f</t>
  </si>
  <si>
    <t>Zapatillas adidas Mujer Running Eq19 Run | Gz0564</t>
  </si>
  <si>
    <t>https://articulo.mercadolibre.com.pe/MPE-615884772-zapatillas-adidas-mujer-running-eq19-run-gz0564-_JM?searchVariation=174941727647#searchVariation=174941727647&amp;position=5&amp;search_layout=grid&amp;type=item&amp;tracking_id=00defa14-f4cc-410c-ad51-a7a2c64ad576</t>
  </si>
  <si>
    <t>venta ML</t>
  </si>
  <si>
    <t>244-16/04</t>
  </si>
  <si>
    <t>Crocs Crocband Platform Clog Rosado</t>
  </si>
  <si>
    <t>https://articulo.mercadolibre.com.pe/MPE-611471171-crocs-crocband-platform-clog-rosado-_JM?searchVariation=174444412012#searchVariation=174444412012&amp;position=8&amp;search_layout=grid&amp;type=item&amp;tracking_id=4e1cd21c-3052-4ebb-ae3f-7f8e1b1c38b5</t>
  </si>
  <si>
    <t>North Star Zapatillas Urbanas Mujer</t>
  </si>
  <si>
    <t>https://articulo.mercadolibre.com.pe/MPE-620597170-north-star-zapatillas-urbanas-mujer-_JM?searchVariation=175641835304#searchVariation=175641835304&amp;position=9&amp;search_layout=grid&amp;type=item&amp;tracking_id=cf43176a-1ffd-4cf6-92b8-a0932b0771b4</t>
  </si>
  <si>
    <t>=</t>
  </si>
  <si>
    <t>Bata Comfit Sandalias Casuales Mujer</t>
  </si>
  <si>
    <t>https://articulo.mercadolibre.com.pe/MPE-619108740-bata-comfit-sandalias-casuales-mujer-_JM#reco_item_pos=0&amp;reco_backend=machinalis-seller-items&amp;reco_backend_type=low_level&amp;reco_client=vip-seller_items-above&amp;reco_id=a6745c84-c151-46aa-b53f-c103c1e90f3a</t>
  </si>
  <si>
    <t>Power Zapatillas Deportivas Para Mujer Blanco</t>
  </si>
  <si>
    <t>https://articulo.mercadolibre.com.pe/MPE-624939192-power-zapatillas-deportivas-para-mujer-blanco-_JM#reco_item_pos=1&amp;reco_backend=machinalis-seller-items&amp;reco_backend_type=low_level&amp;reco_client=vip-seller_items-above&amp;reco_id=a6745c84-c151-46aa-b53f-c103c1e90f3a</t>
  </si>
  <si>
    <t>North Star Zapatillas Urbana Mujer Melody</t>
  </si>
  <si>
    <t>https://articulo.mercadolibre.com.pe/MPE-620416528-north-star-zapatillas-urbana-mujer-melody-_JM#reco_item_pos=2&amp;reco_backend=machinalis-seller-items&amp;reco_backend_type=low_level&amp;reco_client=vip-seller_items-above&amp;reco_id=a6745c84-c151-46aa-b53f-c103c1e90f3a</t>
  </si>
  <si>
    <t>https://articulo.mercadolibre.com.pe/MPE-620610133-north-star-zapatillas-urbanas-mujer-_JM#reco_item_pos=1&amp;reco_backend=machinalis-seller-items&amp;reco_backend_type=low_level&amp;reco_client=vip-seller_items-above&amp;reco_id=7dd8d639-0f23-415f-9ebe-d0d86f4c517b</t>
  </si>
  <si>
    <t>North Star Zapatillas Urbanas Para Mujer Blanco</t>
  </si>
  <si>
    <t>https://articulo.mercadolibre.com.pe/MPE-624883087-north-star-zapatillas-urbanas-para-mujer-blanco-_JM#reco_item_pos=5&amp;reco_backend=machinalis-seller-items&amp;reco_backend_type=low_level&amp;reco_client=vip-seller_items-above&amp;reco_id=a6745c84-c151-46aa-b53f-c103c1e90f3a</t>
  </si>
  <si>
    <t>Zapatillas adidas Mujer Urbanas adidas Grand Court | Gw9261</t>
  </si>
  <si>
    <t>https://articulo.mercadolibre.com.pe/MPE-618811697-zapatillas-adidas-mujer-urbanas-adidas-grand-court-gw9261-_JM?searchVariation=175418413762#searchVariation=175418413762&amp;position=10&amp;search_layout=grid&amp;type=item&amp;tracking_id=61196477-7ba2-4fd9-8f9c-5d210039c466</t>
  </si>
  <si>
    <t>Zapatillas adidas Hombre Urbanas adidas Grand Court | Gw9252</t>
  </si>
  <si>
    <t>https://articulo.mercadolibre.com.pe/MPE-618798692-zapatillas-adidas-hombre-urbanas-adidas-grand-court-gw9252-_JM#reco_item_pos=4&amp;reco_backend=machinalis-seller-items&amp;reco_backend_type=low_level&amp;reco_client=vip-seller_items-above&amp;reco_id=f0ba7973-cb60-4ebc-a4cd-1ce14dddb918</t>
  </si>
  <si>
    <t>Zapatillas adidas Hombre Urbanas Grand Court Base | Ee7900</t>
  </si>
  <si>
    <t>https://articulo.mercadolibre.com.pe/MPE-627808219-zapatillas-adidas-hombre-urbanas-grand-court-base-ee7900-_JM?variation=176841956073#reco_item_pos=0&amp;reco_backend=machinalis-seller-items&amp;reco_backend_type=low_level&amp;reco_client=vip-seller_items-above&amp;reco_id=0d2e0289-df95-4192-9fe7-7eb10c41d6a2</t>
  </si>
  <si>
    <t>Zapatillas adidas Mujer Outdoor Terrex Ax4 | Gv7506</t>
  </si>
  <si>
    <t>https://articulo.mercadolibre.com.pe/MPE-618933069-zapatillas-adidas-mujer-outdoor-terrex-ax4-gv7506-_JM?searchVariation=175418391077#searchVariation=175418391077&amp;position=11&amp;search_layout=grid&amp;type=item&amp;tracking_id=305571fb-36cd-4c23-a79b-6416506cf0b4</t>
  </si>
  <si>
    <t>Zapatillas adidas Mujer Outdoor Terrex Ax3 Gore-tex | Ef3365</t>
  </si>
  <si>
    <t>https://articulo.mercadolibre.com.pe/MPE-618900906-zapatillas-adidas-mujer-outdoor-terrex-ax3-gore-tex-ef3365-_JM#reco_item_pos=1&amp;reco_backend=machinalis-seller-items&amp;reco_backend_type=low_level&amp;reco_client=vip-seller_items-above&amp;reco_id=3db6b016-8fa3-46dc-8b48-bc571942e800</t>
  </si>
  <si>
    <t>Botin adidas Hombre Outdoor Terrex Ax3 Mid Gore-tex | Bc0466</t>
  </si>
  <si>
    <t>https://articulo.mercadolibre.com.pe/MPE-627801553-botin-adidas-hombre-outdoor-terrex-ax3-mid-gore-tex-bc0466-_JM?variation=176841962024#reco_item_pos=0&amp;reco_backend=machinalis-seller-items&amp;reco_backend_type=low_level&amp;reco_client=vip-seller_items-above&amp;reco_id=9af3d91e-3390-4f51-8403-faf83f131231</t>
  </si>
  <si>
    <t>https://articulo.mercadolibre.com.pe/MPE-618900906-zapatillas-adidas-mujer-outdoor-terrex-ax3-gore-tex-ef3365-_JM#reco_item_pos=0&amp;reco_backend=machinalis-seller-items&amp;reco_backend_type=low_level&amp;reco_client=vip-seller_items-above&amp;reco_id=e7218868-0d6a-48ee-a824-2ba7a1d45180</t>
  </si>
  <si>
    <t>Zapatillas adidas Hombre Outdoor Terrex Ax4 Gy8321</t>
  </si>
  <si>
    <t>https://articulo.mercadolibre.com.pe/MPE-618926789-zapatillas-adidas-hombre-outdoor-terrex-ax4-gy8321-_JM#reco_item_pos=1&amp;reco_backend=machinalis-seller-items&amp;reco_backend_type=low_level&amp;reco_client=vip-seller_items-above&amp;reco_id=b5f80935-bb90-44eb-8766-3434055e1745</t>
  </si>
  <si>
    <t>Zapatillas Reebok Mujer Training Fluxlite | Gy4053</t>
  </si>
  <si>
    <t>https://articulo.mercadolibre.com.pe/MPE-626857115-zapatillas-reebok-mujer-training-fluxlite-gy4053-_JM?searchVariation=176507806954#searchVariation=176507806954&amp;position=13&amp;search_layout=grid&amp;type=item&amp;tracking_id=df7618c7-51bd-4982-bc51-d423b2984669</t>
  </si>
  <si>
    <t>Zapatillas adidas Mujer Running Start Your Run | Gy9231</t>
  </si>
  <si>
    <t>https://articulo.mercadolibre.com.pe/MPE-619603342-zapatillas-adidas-mujer-running-start-your-run-gy9231-_JM?searchVariation=175498175456#searchVariation=175498175456&amp;position=16&amp;search_layout=grid&amp;type=item&amp;tracking_id=b5da6600-419d-41b5-b898-2d8902c0eb37</t>
  </si>
  <si>
    <t>Zapatillas adidas Mujer Outdoor Eastrail 2.0 | Gv7513</t>
  </si>
  <si>
    <t>https://articulo.mercadolibre.com.pe/MPE-618798690-zapatillas-adidas-mujer-outdoor-eastrail-20-gv7513-_JM?searchVariation=175418385628#searchVariation=175418385628&amp;position=14&amp;search_layout=grid&amp;type=item&amp;tracking_id=55521773-e6eb-441f-88cc-f3714a84a5a9</t>
  </si>
  <si>
    <t>Weinbrenner Zapatillas Outdoor Mujer</t>
  </si>
  <si>
    <t>https://articulo.mercadolibre.com.pe/MPE-622287038-weinbrenner-zapatillas-outdoor-mujer-_JM?searchVariation=175872400653#searchVariation=175872400653&amp;position=15&amp;search_layout=grid&amp;type=item&amp;tracking_id=4bcb447d-6031-4b9c-aba6-95bd2c75fea4</t>
  </si>
  <si>
    <t>https://articulo.mercadolibre.com.pe/MPE-618900906-zapatillas-adidas-mujer-outdoor-terrex-ax3-gore-tex-ef3365-_JM?searchVariation=175418397257#searchVariation=175418397257&amp;position=23&amp;search_layout=grid&amp;type=item&amp;tracking_id=e648ea6c-3df7-4f5a-a4fb-27e6dfa91935</t>
  </si>
  <si>
    <t>Zapatillas Reebok Mujer Running Lite Plus 3 | Gy3978</t>
  </si>
  <si>
    <t>https://articulo.mercadolibre.com.pe/MPE-627575207-zapatillas-reebok-mujer-running-lite-plus-3-gy3978-_JM?searchVariation=176761894113#searchVariation=176761894113&amp;position=25&amp;search_layout=grid&amp;type=item&amp;tracking_id=02932111-e01b-42e5-9dae-ab3718448f82</t>
  </si>
  <si>
    <t>Zapatillas Skechers Lander S Neutral Suede/duraleather Mujer</t>
  </si>
  <si>
    <t>https://articulo.mercadolibre.com.pe/MPE-620155140-zapatillas-skechers-lander-s-neutral-suededuraleather-mujer-_JM?searchVariation=175579088503#searchVariation=175579088503&amp;position=36&amp;search_layout=grid&amp;type=item&amp;tracking_id=aac5a397-dba3-4699-a4e2-71d42588d557</t>
  </si>
  <si>
    <t>MODA DE HOMBRES</t>
  </si>
  <si>
    <t>https://articulo.mercadolibre.com.pe/MPE-447855939-bombert-jacket-de-hombre-chaquete-de-hombre-casaca-_JM#reco_item_pos=0&amp;reco_backend=machinalis-seller-items&amp;reco_backend_type=low_level&amp;reco_client=vip-seller_items-above&amp;reco_id=51342774-7840-4f5f-bb6d-832dbb1fb15f</t>
  </si>
  <si>
    <t>Bombert Jacket De Hombre | Chaquete De Hombre | Casaca</t>
  </si>
  <si>
    <t>https://articulo.mercadolibre.com.pe/MPE-616387265-casaca-jean-clasica-denim-strech-_JM#reco_item_pos=0&amp;reco_backend=machinalis-seller-items&amp;reco_backend_type=low_level&amp;reco_client=vip-seller_items-above&amp;reco_id=37e0d528-9440-4b37-ac8c-b440dfa6b557</t>
  </si>
  <si>
    <t>Casaca Jean Clasica | Denim Strech</t>
  </si>
  <si>
    <t>https://articulo.mercadolibre.com.pe/MPE-616600460-cafarenas-de-hombre-estilo-casual-100-algodon-_JM#reco_item_pos=3&amp;reco_backend=machinalis-seller-items&amp;reco_backend_type=low_level&amp;reco_client=vip-seller_items-above&amp;reco_id=92bf7739-51bf-48dd-829a-1f710290e116</t>
  </si>
  <si>
    <t>Cafarenas De Hombre Estilo Casual | 100% Algodón</t>
  </si>
  <si>
    <t>https://articulo.mercadolibre.com.pe/MPE-440228944-sudaderas-hoodie-poleras-p-hombre-por-und-y-por-mayor-_JM#reco_item_pos=2&amp;reco_backend=machinalis-seller-items&amp;reco_backend_type=low_level&amp;reco_client=vip-seller_items-above&amp;reco_id=4e57d0d2-30ab-4448-a3f4-564fb0c28a64</t>
  </si>
  <si>
    <t>Sudaderas | Hoodie | Poleras P/ Hombre</t>
  </si>
  <si>
    <t>https://articulo.mercadolibre.com.pe/MPE-441845781-pack-de-3-shorts-basicos-de-hombre-100-algodon--_JM#reco_item_pos=7&amp;reco_backend=machinalis-seller-items&amp;reco_backend_type=low_level&amp;reco_client=vip-seller_items-above&amp;reco_id=5ab5af9e-d172-4cb5-a3cf-c0bfd7da32ed</t>
  </si>
  <si>
    <t xml:space="preserve">Pack De 3 Shorts Básicos De Hombre | 100% Algodon </t>
  </si>
  <si>
    <t>Short Corto De Hombre | 100% Algodon | 3 Pack</t>
  </si>
  <si>
    <t>https://articulo.mercadolibre.com.pe/MPE-443121665-short-corto-de-hombre-100-algodon-3-pack-_JM#reco_item_pos=0&amp;reco_backend=machinalis-seller-items&amp;reco_backend_type=low_level&amp;reco_client=vip-seller_items-above&amp;reco_id=69a11a0e-4dda-4828-abaf-face114d9a04</t>
  </si>
  <si>
    <t>Pack De 3 Buzo Jogger De Hombre | 100% Algodon | Slim</t>
  </si>
  <si>
    <t>https://articulo.mercadolibre.com.pe/MPE-441316490-pack-de-3-buzo-jogger-de-hombre-100-algodon-slim-_JM#reco_item_pos=3&amp;reco_backend=machinalis-seller-items&amp;reco_backend_type=low_level&amp;reco_client=vip-seller_items-above&amp;reco_id=df93dc29-ad7b-4d73-93f2-e0af483da041</t>
  </si>
  <si>
    <t>https://articulo.mercadolibre.com.pe/MPE-621385662-jogger-cargo-pantalon-con-bolsillo-cargo-_JM#reco_item_pos=0&amp;reco_backend=machinalis-seller-items&amp;reco_backend_type=low_level&amp;reco_client=vip-seller_items-above&amp;reco_id=f4587fa6-fcc1-4093-85f8-deb2e84cd596&amp;gid=1&amp;pid=1</t>
  </si>
  <si>
    <t>Jogger Cargo | Pantalon Con Bolsillo Cargo</t>
  </si>
  <si>
    <t>https://articulo.mercadolibre.com.pe/MPE-440271657-conjunto-de-franela-sudadera-con-capucha-jogger-_JM#reco_item_pos=1&amp;reco_backend=machinalis-seller-items&amp;reco_backend_type=low_level&amp;reco_client=vip-seller_items-above&amp;reco_id=72dca038-5b95-4a7f-b5bb-0bf77e4b66e3</t>
  </si>
  <si>
    <t>Conjunto De Franela / Sudadera Con Capucha + Jogger</t>
  </si>
  <si>
    <t>VESTIMENTA ROPA</t>
  </si>
  <si>
    <t>VESTIMENTA ZAPATILLAS</t>
  </si>
  <si>
    <t>https://articulo.mercadolibre.com.pe/MPE-616743269-zapatillas-adidas-hombre-futbol-goletto-viii-tf-gy5775-_JM?searchVariation=175100468482#searchVariation=175100468482&amp;position=1&amp;search_layout=grid&amp;type=item&amp;tracking_id=e6890aa6-d865-4f60-934f-34ef36b0119c</t>
  </si>
  <si>
    <t>Zapatillas adidas Hombre Futbol Goletto Viii Tf | Gy5775</t>
  </si>
  <si>
    <t>prsio venta ML-17/4</t>
  </si>
  <si>
    <t>Zapatillas adidas Hombre Futbol Deportivo Ii Tf | Hp2519</t>
  </si>
  <si>
    <t>https://articulo.mercadolibre.com.pe/MPE-627565407-zapatillas-adidas-hombre-futbol-deportivo-ii-tf-hp2519-_JM#reco_item_pos=2&amp;reco_backend=machinalis-seller-items&amp;reco_backend_type=low_level&amp;reco_client=vip-seller_items-above&amp;reco_id=e18bddd0-aa00-410b-ab7b-7810fc6b6bc6</t>
  </si>
  <si>
    <t>https://articulo.mercadolibre.com.pe/MPE-623717712-zapatillas-adidas-unisex-deportivas-tensaur-sport-gw6422-_JM?variation=176118405388#reco_item_pos=5&amp;reco_backend=machinalis-seller-items&amp;reco_backend_type=low_level&amp;reco_client=vip-seller_items-above&amp;reco_id=b09feb57-b739-4da0-bc2e-11cbf0c53dbf</t>
  </si>
  <si>
    <t>Zapatillas adidas Unisex Deportivas Tensaur Sport | Gw6422</t>
  </si>
  <si>
    <t>https://articulo.mercadolibre.com.pe/MPE-630438998-zapatillas-reebok-hombre-urbanas-royal-glide-gz2323-_JM#reco_item_pos=2&amp;reco_backend=machinalis-seller-items&amp;reco_backend_type=low_level&amp;reco_client=vip-seller_items-above&amp;reco_id=4526b6da-0686-4c22-b0c9-874544da1d17</t>
  </si>
  <si>
    <t>Zapatillas Reebok Hombre Urbanas Royal Glide | Gz2323</t>
  </si>
  <si>
    <t>https://articulo.mercadolibre.com.pe/MPE-623717712-zapatillas-adidas-unisex-deportivas-tensaur-sport-gw6422-_JM?variation=176118405388#reco_item_pos=1&amp;reco_backend=machinalis-seller-items&amp;reco_backend_type=low_level&amp;reco_client=vip-seller_items-above&amp;reco_id=5e2d684b-3ee3-4606-8cb5-915b83021c39</t>
  </si>
  <si>
    <t>Botin adidas Hombre Urbanas Hoops 3.0 | Hp7895</t>
  </si>
  <si>
    <t>https://articulo.mercadolibre.com.pe/MPE-627520820-botin-adidas-hombre-urbanas-hoops-30-hp7895-_JM#reco_item_pos=4&amp;reco_backend=machinalis-seller-items&amp;reco_backend_type=low_level&amp;reco_client=vip-seller_items-above&amp;reco_id=b0720112-0bcf-4ae7-8130-88e0ae80a602</t>
  </si>
  <si>
    <t>Zapatillas Avia Hombre Urbanas Aston | 12-500299-1</t>
  </si>
  <si>
    <t>https://articulo.mercadolibre.com.pe/MPE-615086331-zapatillas-avia-hombre-urbanas-aston-12-500299-1-_JM#reco_item_pos=5&amp;reco_backend=machinalis-seller-items&amp;reco_backend_type=low_level&amp;reco_client=vip-seller_items-above&amp;reco_id=a69d7aa2-3d2c-49d6-b42f-a5f39041909b</t>
  </si>
  <si>
    <t>Zapatillas Reebok Hombre Urbanas Turbo Restyle | Gw7831</t>
  </si>
  <si>
    <t>https://articulo.mercadolibre.com.pe/MPE-627546836-zapatillas-reebok-hombre-urbanas-turbo-restyle-gw7831-_JM#reco_item_pos=2&amp;reco_backend=machinalis-seller-items&amp;reco_backend_type=low_level&amp;reco_client=vip-seller_items-above&amp;reco_id=22c40085-c7f9-4a22-8145-4b5af7a90cd1</t>
  </si>
  <si>
    <t>Zapatillas Reebok Hombre Outdoor Ridgerider 6 | Gx2249</t>
  </si>
  <si>
    <t>https://articulo.mercadolibre.com.pe/MPE-612859020-zapatillas-reebok-hombre-outdoor-ridgerider-6-gx2249-_JM#reco_item_pos=14&amp;reco_backend=machinalis-seller-items&amp;reco_backend_type=low_level&amp;reco_client=vip-seller_items-above&amp;reco_id=f9e7f009-4e09-4f5e-9355-3a6b81fd1372</t>
  </si>
  <si>
    <t>Zapatillas adidas Hombre Outdoor Tracerocker 2.0 | Gz8916</t>
  </si>
  <si>
    <t>https://articulo.mercadolibre.com.pe/MPE-612914258-zapatillas-adidas-hombre-outdoor-tracerocker-20-gz8916-_JM#reco_item_pos=2&amp;reco_backend=machinalis-seller-items&amp;reco_backend_type=low_level&amp;reco_client=vip-seller_items-above&amp;reco_id=678e8afa-d465-41ff-8b43-41f3adcdbaf3</t>
  </si>
  <si>
    <t>https://articulo.mercadolibre.com.pe/MPE-612045968-botin-nike-hombre-urbano-court-vision-mid-nn-dn3577-101-_JM#reco_item_pos=18&amp;reco_backend=machinalis-seller-items&amp;reco_backend_type=low_level&amp;reco_client=vip-seller_items-above&amp;reco_id=5e2d684b-3ee3-4606-8cb5-915b83021c39</t>
  </si>
  <si>
    <t>Botin Nike Hombre Urbano Court Vision Mid Nn | Dn3577-101</t>
  </si>
  <si>
    <t>Botin Nike Hombre Air Force 1 High 07 Premium | Dv1015-437</t>
  </si>
  <si>
    <t>https://articulo.mercadolibre.com.pe/MPE-621032593-botin-nike-hombre-air-force-1-high-07-premium-dv1015-437-_JM?variation=175703908646#reco_item_pos=5&amp;reco_backend=machinalis-seller-items&amp;reco_backend_type=low_level&amp;reco_client=vip-seller_items-above&amp;reco_id=1cd75d74-f7ba-4678-97d4-da45677312f2</t>
  </si>
  <si>
    <t>https://articulo.mercadolibre.com.pe/MPE-615086331-zapatillas-avia-hombre-urbanas-aston-12-500299-1-_JM#reco_item_pos=2&amp;reco_backend=machinalis-seller-items&amp;reco_backend_type=low_level&amp;reco_client=vip-seller_items-above&amp;reco_id=5f2060cd-1731-4de4-8755-2463e67a6ea1</t>
  </si>
  <si>
    <t>Botin Avia Hombre Basketball Leon | 12-500516-3</t>
  </si>
  <si>
    <t>https://articulo.mercadolibre.com.pe/MPE-627514403-botin-avia-hombre-basketball-leon-12-500516-3-_JM#reco_item_pos=3&amp;reco_backend=machinalis-seller-items&amp;reco_backend_type=low_level&amp;reco_client=vip-seller_items-above&amp;reco_id=5008e78e-5ae6-4010-b1d3-c094bc1a8fe7</t>
  </si>
  <si>
    <t>Botin Nike Hombre Urbanas Sb Zoom Blazer Mid Iso |dr9092-100</t>
  </si>
  <si>
    <t>https://articulo.mercadolibre.com.pe/MPE-619616394-botin-nike-hombre-urbanas-sb-zoom-blazer-mid-iso-dr9092-100-_JM?variation=175498108930#reco_item_pos=6&amp;reco_backend=machinalis-seller-items&amp;reco_backend_type=low_level&amp;reco_client=vip-seller_items-above&amp;reco_id=e2e61e7c-66f2-428b-b8de-cb35649fc385</t>
  </si>
  <si>
    <t>https://articulo.mercadolibre.com.pe/MPE-616749719-zapatillas-nike-hombre-urbanas-court-royale-2-dh3160-001-_JM#reco_item_pos=17&amp;reco_backend=machinalis-seller-items&amp;reco_backend_type=low_level&amp;reco_client=vip-seller_items-above&amp;reco_id=6040a13c-d3b4-4d2d-8ba6-b5ac61a8e67f</t>
  </si>
  <si>
    <t>Zapatillas Nike Hombre Urbanas Court Royale 2 | Dh3160-001</t>
  </si>
  <si>
    <t>Botin Nike Hombre Sb Blzr Court Mid Premium | Dh7479-001</t>
  </si>
  <si>
    <t>https://articulo.mercadolibre.com.pe/MPE-618431000-botin-nike-hombre-sb-blzr-court-mid-premium-dh7479-001-_JM?variation=175366323217#reco_item_pos=8&amp;reco_backend=machinalis-seller-items&amp;reco_backend_type=low_level&amp;reco_client=vip-seller_items-above&amp;reco_id=a3f8e502-ba60-4e22-adcd-1134ab974a94</t>
  </si>
  <si>
    <t>Botin Nike Mujer Urbanas Court Legacy Cnvs Mid | Dd0161-001</t>
  </si>
  <si>
    <t>https://articulo.mercadolibre.com.pe/MPE-619011971-botin-nike-mujer-urbanas-court-legacy-cnvs-mid-dd0161-001-_JM?variation=175432953940#reco_item_pos=1&amp;reco_backend=machinalis-seller-items&amp;reco_backend_type=low_level&amp;reco_client=vip-seller_items-above&amp;reco_id=9c469db8-38a3-4e92-bedc-a3fecb33ed11</t>
  </si>
  <si>
    <t>Zapatillas Asics Novablast 3 Black/amber Hombre</t>
  </si>
  <si>
    <t>https://articulo.mercadolibre.com.pe/MPE-622521161-zapatillas-asics-novablast-3-blackamber-hombre-_JM?searchVariation=175892951330#searchVariation=175892951330&amp;position=15&amp;search_layout=grid&amp;type=item&amp;tracking_id=42026945-f511-4b10-8f6b-77a8c1ef14fb</t>
  </si>
  <si>
    <t>Zapatillas Asics Noosa Tri 14 Diva Pink/black Hombre</t>
  </si>
  <si>
    <t>https://articulo.mercadolibre.com.pe/MPE-628771328-zapatillas-asics-noosa-tri-14-diva-pinkblack-hombre-_JM#reco_item_pos=0&amp;reco_backend=machinalis-seller-items&amp;reco_backend_type=low_level&amp;reco_client=vip-seller_items-above&amp;reco_id=e4f54dc7-8c87-41af-bc0d-56c4b5828766</t>
  </si>
  <si>
    <t>Zapatillas Urbanas Hombre New Balance 400 Beige Gm400md1</t>
  </si>
  <si>
    <t>https://articulo.mercadolibre.com.pe/MPE-626751715-zapatillas-urbanas-hombre-new-balance-400-beige-gm400md1-_JM?searchVariation=176540564572#searchVariation=176540564572&amp;position=23&amp;search_layout=grid&amp;type=item&amp;tracking_id=35cc0991-b956-4f1a-8a70-300432ef539c</t>
  </si>
  <si>
    <t>https://articulo.mercadolibre.com.pe/MPE-626738629-zapatillas-urbanas-hombre-new-balance-400-negro-gm400ma1-_JM#reco_item_pos=0&amp;reco_backend=machinalis-seller-items&amp;reco_backend_type=low_level&amp;reco_client=vip-seller_items-above&amp;reco_id=9f10cd45-7d79-4b0e-902c-3f59f08e3ab6</t>
  </si>
  <si>
    <t>Zapatillas Urbanas Hombre New Balance 400 Negro Gm400ma1</t>
  </si>
  <si>
    <t>North Star Zapatillas Urbanas Para Hombre Blanco</t>
  </si>
  <si>
    <t>https://articulo.mercadolibre.com.pe/MPE-624812011-north-star-zapatillas-urbanas-para-hombre-blanco-_JM?searchVariation=176343027129#searchVariation=176343027129&amp;position=39&amp;search_layout=grid&amp;type=item&amp;tracking_id=aa3346cc-b787-4f33-97d6-62fe570f47ad</t>
  </si>
  <si>
    <t>https://articulo.mercadolibre.com.pe/MPE-624825056-north-star-zapatillas-urbanas-para-hombre-blanco-_JM#reco_item_pos=2&amp;reco_backend=machinalis-seller-items&amp;reco_backend_type=low_level&amp;reco_client=vip-seller_items-above&amp;reco_id=82696144-2b88-4e14-96aa-de7131c8cb2d</t>
  </si>
  <si>
    <t>https://articulo.mercadolibre.com.pe/MPE-624939196-north-star-zapatillas-urbanas-para-hombre-blanco-_JM?variation=176342972269#reco_item_pos=5&amp;reco_backend=machinalis-v2p&amp;reco_backend_type=low_level&amp;reco_client=vip-v2p&amp;reco_id=c1fc7ebc-1de8-4b56-9103-b2fc4662a65e</t>
  </si>
  <si>
    <t>Botin Under Armour Hombre Basketball Lockdown 6 |3025616-002</t>
  </si>
  <si>
    <t>https://articulo.mercadolibre.com.pe/MPE-619616470-botin-under-armour-hombre-basketball-lockdown-6-3025616-002-_JM?searchVariation=175499173428#searchVariation=175499173428&amp;position=9&amp;search_layout=grid&amp;type=item&amp;tracking_id=f22a22ed-8b6a-42ea-a66d-aed70a43d98d</t>
  </si>
  <si>
    <t>Botin Under Armour Niños Basketball Lockdown 5 | 3023533-601</t>
  </si>
  <si>
    <t>https://articulo.mercadolibre.com.pe/MPE-626876432-botin-under-armour-ninos-basketball-lockdown-5-3023533-601-_JM#reco_item_pos=2&amp;reco_backend=machinalis-seller-items&amp;reco_backend_type=low_level&amp;reco_client=vip-seller_items-above&amp;reco_id=eb51bc6b-5c99-4be8-9e4e-041cc1542b8b</t>
  </si>
  <si>
    <t>MODA DE MUJERES</t>
  </si>
  <si>
    <t>ROPA</t>
  </si>
  <si>
    <t>venta ML-16/4</t>
  </si>
  <si>
    <t>https://articulo.mercadolibre.com.pe/MPE-628735656-top-running-mujer-new-balance-wbr2203-_JM?searchVariation=176994947427#searchVariation=176994947427&amp;position=7&amp;search_layout=grid&amp;type=item&amp;tracking_id=1968a4f0-abf7-4fc3-a975-186f591526fa</t>
  </si>
  <si>
    <t>Top Running Mujer New Balance Wbr2203</t>
  </si>
  <si>
    <t>https://articulo.mercadolibre.com.pe/MPE-447582499-gorro-de-lana-invierno-cuellera-tapaboca-chalina-para-mujer-_JM#position=4&amp;search_layout=grid&amp;type=item&amp;tracking_id=a93c2cad-72d7-4552-9ec3-9bd815eedaaf</t>
  </si>
  <si>
    <t>Gorro De Lana Invierno Cuellera, Tapaboca Chalina Para Mujer</t>
  </si>
  <si>
    <t>https://articulo.mercadolibre.com.pe/MPE-440027529-bufanda-pashminas-y-chales-220m-de-largo-_JM#position=48&amp;search_layout=grid&amp;type=item&amp;tracking_id=b53bc477-0a45-472a-aeb8-85a8d9cbcf4d</t>
  </si>
  <si>
    <t>Bufanda, Pashminas Y Chales 2.20m De Largo</t>
  </si>
  <si>
    <t>https://articulo.mercadolibre.com.pe/MPE-439605570-blusa-camisas-oxford-de-mujer-para-empresas-por-mayor-_JM?searchVariation=51753057317#searchVariation=51753057317&amp;position=1&amp;search_layout=grid&amp;type=item&amp;tracking_id=4c811976-eed1-4131-8ae9-c50b547370a7</t>
  </si>
  <si>
    <t>Blusa / Camisas Oxford De Mujer Para Empresas Por Mayor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</si>
</sst>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/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1" applyAlignment="1">
      <alignment horizontal="left"/>
    </xf>
    <xf numFmtId="0" fontId="0" fillId="0" borderId="0" xfId="0" applyFill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4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articulo.mercadolibre.com.pe/MPE-627808219-zapatillas-adidas-hombre-urbanas-grand-court-base-ee7900-_JM?variation=176841956073" TargetMode="External"/><Relationship Id="rId18" Type="http://schemas.openxmlformats.org/officeDocument/2006/relationships/hyperlink" Target="https://articulo.mercadolibre.com.pe/MPE-618926789-zapatillas-adidas-hombre-outdoor-terrex-ax4-gy8321-_JM" TargetMode="External"/><Relationship Id="rId26" Type="http://schemas.openxmlformats.org/officeDocument/2006/relationships/hyperlink" Target="https://articulo.mercadolibre.com.pe/MPE-447855939-bombert-jacket-de-hombre-chaquete-de-hombre-casaca-_JM" TargetMode="External"/><Relationship Id="rId39" Type="http://schemas.openxmlformats.org/officeDocument/2006/relationships/hyperlink" Target="https://articulo.mercadolibre.com.pe/MPE-623717712-zapatillas-adidas-unisex-deportivas-tensaur-sport-gw6422-_JM?variation=176118405388" TargetMode="External"/><Relationship Id="rId21" Type="http://schemas.openxmlformats.org/officeDocument/2006/relationships/hyperlink" Target="https://articulo.mercadolibre.com.pe/MPE-618798690-zapatillas-adidas-mujer-outdoor-eastrail-20-gv7513-_JM?searchVariation=175418385628" TargetMode="External"/><Relationship Id="rId34" Type="http://schemas.openxmlformats.org/officeDocument/2006/relationships/hyperlink" Target="https://articulo.mercadolibre.com.pe/MPE-440271657-conjunto-de-franela-sudadera-con-capucha-jogger-_JM" TargetMode="External"/><Relationship Id="rId42" Type="http://schemas.openxmlformats.org/officeDocument/2006/relationships/hyperlink" Target="https://articulo.mercadolibre.com.pe/MPE-627546836-zapatillas-reebok-hombre-urbanas-turbo-restyle-gw7831-_JM" TargetMode="External"/><Relationship Id="rId47" Type="http://schemas.openxmlformats.org/officeDocument/2006/relationships/hyperlink" Target="https://articulo.mercadolibre.com.pe/MPE-615086331-zapatillas-avia-hombre-urbanas-aston-12-500299-1-_JM" TargetMode="External"/><Relationship Id="rId50" Type="http://schemas.openxmlformats.org/officeDocument/2006/relationships/hyperlink" Target="https://articulo.mercadolibre.com.pe/MPE-616749719-zapatillas-nike-hombre-urbanas-court-royale-2-dh3160-001-_JM" TargetMode="External"/><Relationship Id="rId55" Type="http://schemas.openxmlformats.org/officeDocument/2006/relationships/hyperlink" Target="https://articulo.mercadolibre.com.pe/MPE-626751715-zapatillas-urbanas-hombre-new-balance-400-beige-gm400md1-_JM?searchVariation=176540564572" TargetMode="External"/><Relationship Id="rId63" Type="http://schemas.openxmlformats.org/officeDocument/2006/relationships/hyperlink" Target="https://articulo.mercadolibre.com.pe/MPE-447582499-gorro-de-lana-invierno-cuellera-tapaboca-chalina-para-mujer-_JM" TargetMode="External"/><Relationship Id="rId7" Type="http://schemas.openxmlformats.org/officeDocument/2006/relationships/hyperlink" Target="https://articulo.mercadolibre.com.pe/MPE-624939192-power-zapatillas-deportivas-para-mujer-blanco-_JM" TargetMode="External"/><Relationship Id="rId2" Type="http://schemas.openxmlformats.org/officeDocument/2006/relationships/hyperlink" Target="https://articulo.mercadolibre.com.pe/MPE-627859357-zapatillas-adidas-mujer-urbanas-court-plataforma-gv8995-_JM?searchVariation=176841943650" TargetMode="External"/><Relationship Id="rId16" Type="http://schemas.openxmlformats.org/officeDocument/2006/relationships/hyperlink" Target="https://articulo.mercadolibre.com.pe/MPE-627801553-botin-adidas-hombre-outdoor-terrex-ax3-mid-gore-tex-bc0466-_JM?variation=176841962024" TargetMode="External"/><Relationship Id="rId20" Type="http://schemas.openxmlformats.org/officeDocument/2006/relationships/hyperlink" Target="https://articulo.mercadolibre.com.pe/MPE-619603342-zapatillas-adidas-mujer-running-start-your-run-gy9231-_JM?searchVariation=175498175456" TargetMode="External"/><Relationship Id="rId29" Type="http://schemas.openxmlformats.org/officeDocument/2006/relationships/hyperlink" Target="https://articulo.mercadolibre.com.pe/MPE-440228944-sudaderas-hoodie-poleras-p-hombre-por-und-y-por-mayor-_JM" TargetMode="External"/><Relationship Id="rId41" Type="http://schemas.openxmlformats.org/officeDocument/2006/relationships/hyperlink" Target="https://articulo.mercadolibre.com.pe/MPE-615086331-zapatillas-avia-hombre-urbanas-aston-12-500299-1-_JM" TargetMode="External"/><Relationship Id="rId54" Type="http://schemas.openxmlformats.org/officeDocument/2006/relationships/hyperlink" Target="https://articulo.mercadolibre.com.pe/MPE-628771328-zapatillas-asics-noosa-tri-14-diva-pinkblack-hombre-_JM" TargetMode="External"/><Relationship Id="rId62" Type="http://schemas.openxmlformats.org/officeDocument/2006/relationships/hyperlink" Target="https://articulo.mercadolibre.com.pe/MPE-628735656-top-running-mujer-new-balance-wbr2203-_JM?searchVariation=176994947427" TargetMode="External"/><Relationship Id="rId1" Type="http://schemas.openxmlformats.org/officeDocument/2006/relationships/hyperlink" Target="https://articulo.mercadolibre.com.pe/MPE-621976170-north-star-zapatillas-urbana-mujer-tam-_JM?searchVariation=175817554407" TargetMode="External"/><Relationship Id="rId6" Type="http://schemas.openxmlformats.org/officeDocument/2006/relationships/hyperlink" Target="https://articulo.mercadolibre.com.pe/MPE-619108740-bata-comfit-sandalias-casuales-mujer-_JM" TargetMode="External"/><Relationship Id="rId11" Type="http://schemas.openxmlformats.org/officeDocument/2006/relationships/hyperlink" Target="https://articulo.mercadolibre.com.pe/MPE-618811697-zapatillas-adidas-mujer-urbanas-adidas-grand-court-gw9261-_JM?searchVariation=175418413762" TargetMode="External"/><Relationship Id="rId24" Type="http://schemas.openxmlformats.org/officeDocument/2006/relationships/hyperlink" Target="https://articulo.mercadolibre.com.pe/MPE-627575207-zapatillas-reebok-mujer-running-lite-plus-3-gy3978-_JM?searchVariation=176761894113" TargetMode="External"/><Relationship Id="rId32" Type="http://schemas.openxmlformats.org/officeDocument/2006/relationships/hyperlink" Target="https://articulo.mercadolibre.com.pe/MPE-441316490-pack-de-3-buzo-jogger-de-hombre-100-algodon-slim-_JM" TargetMode="External"/><Relationship Id="rId37" Type="http://schemas.openxmlformats.org/officeDocument/2006/relationships/hyperlink" Target="https://articulo.mercadolibre.com.pe/MPE-623717712-zapatillas-adidas-unisex-deportivas-tensaur-sport-gw6422-_JM?variation=176118405388" TargetMode="External"/><Relationship Id="rId40" Type="http://schemas.openxmlformats.org/officeDocument/2006/relationships/hyperlink" Target="https://articulo.mercadolibre.com.pe/MPE-627520820-botin-adidas-hombre-urbanas-hoops-30-hp7895-_JM" TargetMode="External"/><Relationship Id="rId45" Type="http://schemas.openxmlformats.org/officeDocument/2006/relationships/hyperlink" Target="https://articulo.mercadolibre.com.pe/MPE-612045968-botin-nike-hombre-urbano-court-vision-mid-nn-dn3577-101-_JM" TargetMode="External"/><Relationship Id="rId53" Type="http://schemas.openxmlformats.org/officeDocument/2006/relationships/hyperlink" Target="https://articulo.mercadolibre.com.pe/MPE-622521161-zapatillas-asics-novablast-3-blackamber-hombre-_JM?searchVariation=175892951330" TargetMode="External"/><Relationship Id="rId58" Type="http://schemas.openxmlformats.org/officeDocument/2006/relationships/hyperlink" Target="https://articulo.mercadolibre.com.pe/MPE-624825056-north-star-zapatillas-urbanas-para-hombre-blanco-_JM" TargetMode="External"/><Relationship Id="rId66" Type="http://schemas.openxmlformats.org/officeDocument/2006/relationships/printerSettings" Target="../printerSettings/printerSettings1.bin"/><Relationship Id="rId5" Type="http://schemas.openxmlformats.org/officeDocument/2006/relationships/hyperlink" Target="https://articulo.mercadolibre.com.pe/MPE-620597170-north-star-zapatillas-urbanas-mujer-_JM?searchVariation=175641835304" TargetMode="External"/><Relationship Id="rId15" Type="http://schemas.openxmlformats.org/officeDocument/2006/relationships/hyperlink" Target="https://articulo.mercadolibre.com.pe/MPE-618900906-zapatillas-adidas-mujer-outdoor-terrex-ax3-gore-tex-ef3365-_JM" TargetMode="External"/><Relationship Id="rId23" Type="http://schemas.openxmlformats.org/officeDocument/2006/relationships/hyperlink" Target="https://articulo.mercadolibre.com.pe/MPE-618900906-zapatillas-adidas-mujer-outdoor-terrex-ax3-gore-tex-ef3365-_JM?searchVariation=175418397257" TargetMode="External"/><Relationship Id="rId28" Type="http://schemas.openxmlformats.org/officeDocument/2006/relationships/hyperlink" Target="https://articulo.mercadolibre.com.pe/MPE-616600460-cafarenas-de-hombre-estilo-casual-100-algodon-_JM" TargetMode="External"/><Relationship Id="rId36" Type="http://schemas.openxmlformats.org/officeDocument/2006/relationships/hyperlink" Target="https://articulo.mercadolibre.com.pe/MPE-627565407-zapatillas-adidas-hombre-futbol-deportivo-ii-tf-hp2519-_JM" TargetMode="External"/><Relationship Id="rId49" Type="http://schemas.openxmlformats.org/officeDocument/2006/relationships/hyperlink" Target="https://articulo.mercadolibre.com.pe/MPE-619616394-botin-nike-hombre-urbanas-sb-zoom-blazer-mid-iso-dr9092-100-_JM?variation=175498108930" TargetMode="External"/><Relationship Id="rId57" Type="http://schemas.openxmlformats.org/officeDocument/2006/relationships/hyperlink" Target="https://articulo.mercadolibre.com.pe/MPE-624812011-north-star-zapatillas-urbanas-para-hombre-blanco-_JM?searchVariation=176343027129" TargetMode="External"/><Relationship Id="rId61" Type="http://schemas.openxmlformats.org/officeDocument/2006/relationships/hyperlink" Target="https://articulo.mercadolibre.com.pe/MPE-626876432-botin-under-armour-ninos-basketball-lockdown-5-3023533-601-_JM" TargetMode="External"/><Relationship Id="rId10" Type="http://schemas.openxmlformats.org/officeDocument/2006/relationships/hyperlink" Target="https://articulo.mercadolibre.com.pe/MPE-624883087-north-star-zapatillas-urbanas-para-mujer-blanco-_JM" TargetMode="External"/><Relationship Id="rId19" Type="http://schemas.openxmlformats.org/officeDocument/2006/relationships/hyperlink" Target="https://articulo.mercadolibre.com.pe/MPE-626857115-zapatillas-reebok-mujer-training-fluxlite-gy4053-_JM?searchVariation=176507806954" TargetMode="External"/><Relationship Id="rId31" Type="http://schemas.openxmlformats.org/officeDocument/2006/relationships/hyperlink" Target="https://articulo.mercadolibre.com.pe/MPE-443121665-short-corto-de-hombre-100-algodon-3-pack-_JM" TargetMode="External"/><Relationship Id="rId44" Type="http://schemas.openxmlformats.org/officeDocument/2006/relationships/hyperlink" Target="https://articulo.mercadolibre.com.pe/MPE-612914258-zapatillas-adidas-hombre-outdoor-tracerocker-20-gz8916-_JM" TargetMode="External"/><Relationship Id="rId52" Type="http://schemas.openxmlformats.org/officeDocument/2006/relationships/hyperlink" Target="https://articulo.mercadolibre.com.pe/MPE-619011971-botin-nike-mujer-urbanas-court-legacy-cnvs-mid-dd0161-001-_JM?variation=175432953940" TargetMode="External"/><Relationship Id="rId60" Type="http://schemas.openxmlformats.org/officeDocument/2006/relationships/hyperlink" Target="https://articulo.mercadolibre.com.pe/MPE-619616470-botin-under-armour-hombre-basketball-lockdown-6-3025616-002-_JM?searchVariation=175499173428" TargetMode="External"/><Relationship Id="rId65" Type="http://schemas.openxmlformats.org/officeDocument/2006/relationships/hyperlink" Target="https://articulo.mercadolibre.com.pe/MPE-439605570-blusa-camisas-oxford-de-mujer-para-empresas-por-mayor-_JM?searchVariation=51753057317" TargetMode="External"/><Relationship Id="rId4" Type="http://schemas.openxmlformats.org/officeDocument/2006/relationships/hyperlink" Target="https://articulo.mercadolibre.com.pe/MPE-611471171-crocs-crocband-platform-clog-rosado-_JM?searchVariation=174444412012" TargetMode="External"/><Relationship Id="rId9" Type="http://schemas.openxmlformats.org/officeDocument/2006/relationships/hyperlink" Target="https://articulo.mercadolibre.com.pe/MPE-620610133-north-star-zapatillas-urbanas-mujer-_JM" TargetMode="External"/><Relationship Id="rId14" Type="http://schemas.openxmlformats.org/officeDocument/2006/relationships/hyperlink" Target="https://articulo.mercadolibre.com.pe/MPE-618933069-zapatillas-adidas-mujer-outdoor-terrex-ax4-gv7506-_JM?searchVariation=175418391077" TargetMode="External"/><Relationship Id="rId22" Type="http://schemas.openxmlformats.org/officeDocument/2006/relationships/hyperlink" Target="https://articulo.mercadolibre.com.pe/MPE-622287038-weinbrenner-zapatillas-outdoor-mujer-_JM?searchVariation=175872400653" TargetMode="External"/><Relationship Id="rId27" Type="http://schemas.openxmlformats.org/officeDocument/2006/relationships/hyperlink" Target="https://articulo.mercadolibre.com.pe/MPE-616387265-casaca-jean-clasica-denim-strech-_JM" TargetMode="External"/><Relationship Id="rId30" Type="http://schemas.openxmlformats.org/officeDocument/2006/relationships/hyperlink" Target="https://articulo.mercadolibre.com.pe/MPE-441845781-pack-de-3-shorts-basicos-de-hombre-100-algodon--_JM" TargetMode="External"/><Relationship Id="rId35" Type="http://schemas.openxmlformats.org/officeDocument/2006/relationships/hyperlink" Target="https://articulo.mercadolibre.com.pe/MPE-616743269-zapatillas-adidas-hombre-futbol-goletto-viii-tf-gy5775-_JM?searchVariation=175100468482" TargetMode="External"/><Relationship Id="rId43" Type="http://schemas.openxmlformats.org/officeDocument/2006/relationships/hyperlink" Target="https://articulo.mercadolibre.com.pe/MPE-612859020-zapatillas-reebok-hombre-outdoor-ridgerider-6-gx2249-_JM" TargetMode="External"/><Relationship Id="rId48" Type="http://schemas.openxmlformats.org/officeDocument/2006/relationships/hyperlink" Target="https://articulo.mercadolibre.com.pe/MPE-627514403-botin-avia-hombre-basketball-leon-12-500516-3-_JM" TargetMode="External"/><Relationship Id="rId56" Type="http://schemas.openxmlformats.org/officeDocument/2006/relationships/hyperlink" Target="https://articulo.mercadolibre.com.pe/MPE-626738629-zapatillas-urbanas-hombre-new-balance-400-negro-gm400ma1-_JM" TargetMode="External"/><Relationship Id="rId64" Type="http://schemas.openxmlformats.org/officeDocument/2006/relationships/hyperlink" Target="https://articulo.mercadolibre.com.pe/MPE-440027529-bufanda-pashminas-y-chales-220m-de-largo-_JM" TargetMode="External"/><Relationship Id="rId8" Type="http://schemas.openxmlformats.org/officeDocument/2006/relationships/hyperlink" Target="https://articulo.mercadolibre.com.pe/MPE-620416528-north-star-zapatillas-urbana-mujer-melody-_JM" TargetMode="External"/><Relationship Id="rId51" Type="http://schemas.openxmlformats.org/officeDocument/2006/relationships/hyperlink" Target="https://articulo.mercadolibre.com.pe/MPE-618431000-botin-nike-hombre-sb-blzr-court-mid-premium-dh7479-001-_JM?variation=175366323217" TargetMode="External"/><Relationship Id="rId3" Type="http://schemas.openxmlformats.org/officeDocument/2006/relationships/hyperlink" Target="https://articulo.mercadolibre.com.pe/MPE-615884772-zapatillas-adidas-mujer-running-eq19-run-gz0564-_JM?searchVariation=174941727647" TargetMode="External"/><Relationship Id="rId12" Type="http://schemas.openxmlformats.org/officeDocument/2006/relationships/hyperlink" Target="https://articulo.mercadolibre.com.pe/MPE-618798692-zapatillas-adidas-hombre-urbanas-adidas-grand-court-gw9252-_JM" TargetMode="External"/><Relationship Id="rId17" Type="http://schemas.openxmlformats.org/officeDocument/2006/relationships/hyperlink" Target="https://articulo.mercadolibre.com.pe/MPE-618900906-zapatillas-adidas-mujer-outdoor-terrex-ax3-gore-tex-ef3365-_JM" TargetMode="External"/><Relationship Id="rId25" Type="http://schemas.openxmlformats.org/officeDocument/2006/relationships/hyperlink" Target="https://articulo.mercadolibre.com.pe/MPE-620155140-zapatillas-skechers-lander-s-neutral-suededuraleather-mujer-_JM?searchVariation=175579088503" TargetMode="External"/><Relationship Id="rId33" Type="http://schemas.openxmlformats.org/officeDocument/2006/relationships/hyperlink" Target="https://articulo.mercadolibre.com.pe/MPE-621385662-jogger-cargo-pantalon-con-bolsillo-cargo-_JM" TargetMode="External"/><Relationship Id="rId38" Type="http://schemas.openxmlformats.org/officeDocument/2006/relationships/hyperlink" Target="https://articulo.mercadolibre.com.pe/MPE-630438998-zapatillas-reebok-hombre-urbanas-royal-glide-gz2323-_JM" TargetMode="External"/><Relationship Id="rId46" Type="http://schemas.openxmlformats.org/officeDocument/2006/relationships/hyperlink" Target="https://articulo.mercadolibre.com.pe/MPE-621032593-botin-nike-hombre-air-force-1-high-07-premium-dv1015-437-_JM?variation=175703908646" TargetMode="External"/><Relationship Id="rId59" Type="http://schemas.openxmlformats.org/officeDocument/2006/relationships/hyperlink" Target="https://articulo.mercadolibre.com.pe/MPE-624939196-north-star-zapatillas-urbanas-para-hombre-blanco-_JM?variation=1763429722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DB3E3-D2BF-4826-B2A3-1BF5C0DBBC0B}">
  <dimension ref="A1:BD44"/>
  <sheetViews>
    <sheetView tabSelected="1" topLeftCell="AX1" zoomScale="73" zoomScaleNormal="73" workbookViewId="0">
      <selection activeCell="BD15" sqref="BD15"/>
    </sheetView>
  </sheetViews>
  <sheetFormatPr baseColWidth="10" defaultRowHeight="14.4" x14ac:dyDescent="0.3"/>
  <cols>
    <col min="1" max="1" width="5.77734375" customWidth="1"/>
    <col min="13" max="13" width="5" customWidth="1"/>
    <col min="24" max="24" width="7.6640625" customWidth="1"/>
  </cols>
  <sheetData>
    <row r="1" spans="1:56" x14ac:dyDescent="0.3">
      <c r="B1" s="5" t="s">
        <v>5</v>
      </c>
      <c r="C1" s="5"/>
      <c r="D1" s="5"/>
      <c r="E1" s="5"/>
      <c r="F1" s="5"/>
      <c r="G1" s="5"/>
      <c r="H1" s="5"/>
      <c r="I1" s="5"/>
      <c r="J1" s="5"/>
      <c r="K1" s="1"/>
      <c r="L1" s="3"/>
      <c r="N1" s="5" t="s">
        <v>56</v>
      </c>
      <c r="O1" s="5"/>
      <c r="P1" s="5"/>
      <c r="Q1" s="5"/>
      <c r="R1" s="5"/>
      <c r="S1" s="5"/>
      <c r="T1" s="5"/>
      <c r="U1" s="5"/>
      <c r="V1" s="1"/>
      <c r="W1" s="3"/>
      <c r="Y1" s="5" t="s">
        <v>56</v>
      </c>
      <c r="Z1" s="5"/>
      <c r="AA1" s="5"/>
      <c r="AB1" s="5"/>
      <c r="AC1" s="5"/>
      <c r="AD1" s="5"/>
      <c r="AE1" s="5"/>
      <c r="AF1" s="5"/>
      <c r="AG1" s="5"/>
      <c r="AH1" s="1"/>
      <c r="AI1" s="3"/>
      <c r="AK1" s="5" t="s">
        <v>128</v>
      </c>
      <c r="AL1" s="5"/>
      <c r="AM1" s="5"/>
      <c r="AN1" s="5"/>
      <c r="AO1" s="5"/>
      <c r="AP1" s="5"/>
      <c r="AQ1" s="5"/>
      <c r="AR1" s="5"/>
      <c r="AS1" s="5"/>
      <c r="AV1" s="3"/>
      <c r="AW1" s="5" t="s">
        <v>56</v>
      </c>
      <c r="AX1" s="5"/>
      <c r="AY1" s="5"/>
      <c r="AZ1" s="5"/>
      <c r="BA1" s="5"/>
      <c r="BB1" s="5"/>
      <c r="BC1" s="5"/>
      <c r="BD1" s="5"/>
    </row>
    <row r="2" spans="1:56" x14ac:dyDescent="0.3">
      <c r="B2" s="5" t="s">
        <v>76</v>
      </c>
      <c r="C2" s="5"/>
      <c r="D2" s="5"/>
      <c r="E2" s="5"/>
      <c r="F2" s="5"/>
      <c r="G2" s="5"/>
      <c r="H2" s="5"/>
      <c r="I2" s="5"/>
      <c r="J2" s="5"/>
      <c r="K2" s="1"/>
      <c r="L2" s="3"/>
      <c r="N2" s="5" t="s">
        <v>75</v>
      </c>
      <c r="O2" s="5"/>
      <c r="P2" s="5"/>
      <c r="Q2" s="5"/>
      <c r="R2" s="5"/>
      <c r="S2" s="5"/>
      <c r="T2" s="5"/>
      <c r="U2" s="5"/>
      <c r="V2" s="1"/>
      <c r="W2" s="3"/>
      <c r="Y2" s="5" t="s">
        <v>76</v>
      </c>
      <c r="Z2" s="5"/>
      <c r="AA2" s="5"/>
      <c r="AB2" s="5"/>
      <c r="AC2" s="5"/>
      <c r="AD2" s="5"/>
      <c r="AE2" s="5"/>
      <c r="AF2" s="5"/>
      <c r="AG2" s="5"/>
      <c r="AH2" s="1"/>
      <c r="AI2" s="3"/>
      <c r="AK2" s="5" t="s">
        <v>129</v>
      </c>
      <c r="AL2" s="5"/>
      <c r="AM2" s="5"/>
      <c r="AN2" s="5"/>
      <c r="AO2" s="5"/>
      <c r="AP2" s="5"/>
      <c r="AQ2" s="5"/>
      <c r="AR2" s="5"/>
      <c r="AS2" s="5"/>
      <c r="AV2" s="3"/>
      <c r="AW2" s="5"/>
      <c r="AX2" s="5"/>
      <c r="AY2" s="5"/>
      <c r="AZ2" s="5"/>
      <c r="BA2" s="5"/>
      <c r="BB2" s="5"/>
      <c r="BC2" s="5"/>
      <c r="BD2" s="5"/>
    </row>
    <row r="3" spans="1:56" x14ac:dyDescent="0.3">
      <c r="B3" s="6" t="s">
        <v>0</v>
      </c>
      <c r="C3" s="6"/>
      <c r="D3" s="6" t="s">
        <v>1</v>
      </c>
      <c r="E3" s="6"/>
      <c r="F3" s="6" t="s">
        <v>2</v>
      </c>
      <c r="G3" s="6"/>
      <c r="H3" s="2" t="s">
        <v>3</v>
      </c>
      <c r="I3" s="2" t="s">
        <v>12</v>
      </c>
      <c r="J3" s="10" t="s">
        <v>4</v>
      </c>
      <c r="K3" s="1"/>
      <c r="L3" s="3"/>
      <c r="N3" s="6" t="s">
        <v>0</v>
      </c>
      <c r="O3" s="6"/>
      <c r="P3" s="6" t="s">
        <v>1</v>
      </c>
      <c r="Q3" s="6"/>
      <c r="R3" s="6" t="s">
        <v>2</v>
      </c>
      <c r="S3" s="6"/>
      <c r="T3" s="2" t="s">
        <v>3</v>
      </c>
      <c r="U3" s="10" t="s">
        <v>4</v>
      </c>
      <c r="V3" s="1"/>
      <c r="W3" s="3"/>
      <c r="Y3" s="6" t="s">
        <v>0</v>
      </c>
      <c r="Z3" s="6"/>
      <c r="AA3" s="6" t="s">
        <v>1</v>
      </c>
      <c r="AB3" s="6"/>
      <c r="AC3" s="6" t="s">
        <v>2</v>
      </c>
      <c r="AD3" s="6"/>
      <c r="AE3" s="2" t="s">
        <v>3</v>
      </c>
      <c r="AF3" s="2" t="s">
        <v>79</v>
      </c>
      <c r="AG3" s="14" t="s">
        <v>4</v>
      </c>
      <c r="AH3" s="1"/>
      <c r="AI3" s="3"/>
      <c r="AK3" s="5" t="s">
        <v>0</v>
      </c>
      <c r="AL3" s="5"/>
      <c r="AM3" s="5" t="s">
        <v>1</v>
      </c>
      <c r="AN3" s="5"/>
      <c r="AO3" s="5" t="s">
        <v>2</v>
      </c>
      <c r="AP3" s="5"/>
      <c r="AQ3" s="2" t="s">
        <v>3</v>
      </c>
      <c r="AR3" s="2" t="s">
        <v>130</v>
      </c>
      <c r="AS3" s="10" t="s">
        <v>4</v>
      </c>
      <c r="AV3" s="3"/>
      <c r="AW3" s="6" t="s">
        <v>0</v>
      </c>
      <c r="AX3" s="6"/>
      <c r="AY3" s="6" t="s">
        <v>1</v>
      </c>
      <c r="AZ3" s="6"/>
      <c r="BA3" s="6" t="s">
        <v>2</v>
      </c>
      <c r="BB3" s="6"/>
      <c r="BC3" s="2" t="s">
        <v>3</v>
      </c>
      <c r="BD3" s="1" t="s">
        <v>4</v>
      </c>
    </row>
    <row r="4" spans="1:56" x14ac:dyDescent="0.3">
      <c r="A4" s="1">
        <v>1</v>
      </c>
      <c r="B4" s="7" t="s">
        <v>7</v>
      </c>
      <c r="C4" s="6"/>
      <c r="D4" s="6" t="s">
        <v>6</v>
      </c>
      <c r="E4" s="6"/>
      <c r="F4" s="5">
        <v>1211</v>
      </c>
      <c r="G4" s="5"/>
      <c r="H4" s="1">
        <v>159</v>
      </c>
      <c r="I4" s="1"/>
      <c r="J4" s="12">
        <f>H4+20</f>
        <v>179</v>
      </c>
      <c r="K4" s="15"/>
      <c r="L4" s="3"/>
      <c r="M4" s="1">
        <v>1</v>
      </c>
      <c r="N4" s="7" t="s">
        <v>57</v>
      </c>
      <c r="O4" s="6"/>
      <c r="P4" s="6" t="s">
        <v>58</v>
      </c>
      <c r="Q4" s="6"/>
      <c r="R4" s="5">
        <v>2121</v>
      </c>
      <c r="S4" s="5"/>
      <c r="T4" s="1">
        <v>86</v>
      </c>
      <c r="U4" s="10">
        <f>T4+20</f>
        <v>106</v>
      </c>
      <c r="V4" s="13"/>
      <c r="W4" s="3"/>
      <c r="X4" s="1">
        <v>1</v>
      </c>
      <c r="Y4" s="7" t="s">
        <v>77</v>
      </c>
      <c r="Z4" s="6"/>
      <c r="AA4" s="6" t="s">
        <v>78</v>
      </c>
      <c r="AB4" s="6"/>
      <c r="AC4" s="5">
        <v>3111</v>
      </c>
      <c r="AD4" s="5"/>
      <c r="AE4" s="1">
        <v>249</v>
      </c>
      <c r="AF4" s="1">
        <v>186</v>
      </c>
      <c r="AG4" s="14">
        <f>AF4+25</f>
        <v>211</v>
      </c>
      <c r="AH4" s="13"/>
      <c r="AI4" s="3"/>
      <c r="AJ4" s="1">
        <v>1</v>
      </c>
      <c r="AK4" s="7" t="s">
        <v>131</v>
      </c>
      <c r="AL4" s="6"/>
      <c r="AM4" s="6" t="s">
        <v>132</v>
      </c>
      <c r="AN4" s="6"/>
      <c r="AO4" s="5">
        <v>1311</v>
      </c>
      <c r="AP4" s="5"/>
      <c r="AQ4" s="1">
        <v>119</v>
      </c>
      <c r="AR4" s="1">
        <v>83</v>
      </c>
      <c r="AS4" s="11">
        <f>AQ4+20</f>
        <v>139</v>
      </c>
      <c r="AT4" s="1"/>
      <c r="AU4" s="1"/>
      <c r="AV4" s="9"/>
      <c r="AW4" s="6"/>
      <c r="AX4" s="6"/>
      <c r="AY4" s="6"/>
      <c r="AZ4" s="6"/>
      <c r="BA4" s="5"/>
      <c r="BB4" s="5"/>
      <c r="BC4" s="1"/>
      <c r="BD4" s="1"/>
    </row>
    <row r="5" spans="1:56" x14ac:dyDescent="0.3">
      <c r="A5" s="1">
        <v>2</v>
      </c>
      <c r="B5" s="7" t="s">
        <v>9</v>
      </c>
      <c r="C5" s="6"/>
      <c r="D5" s="6" t="s">
        <v>8</v>
      </c>
      <c r="E5" s="6"/>
      <c r="F5" s="5">
        <v>1212</v>
      </c>
      <c r="G5" s="5"/>
      <c r="H5" s="1">
        <v>250</v>
      </c>
      <c r="J5" s="12">
        <f t="shared" ref="J5:J28" si="0">H5+20</f>
        <v>270</v>
      </c>
      <c r="L5" s="3"/>
      <c r="M5" s="1">
        <v>2</v>
      </c>
      <c r="N5" s="7" t="s">
        <v>59</v>
      </c>
      <c r="O5" s="6"/>
      <c r="P5" s="6" t="s">
        <v>60</v>
      </c>
      <c r="Q5" s="6"/>
      <c r="R5" s="5">
        <v>2122</v>
      </c>
      <c r="S5" s="5"/>
      <c r="T5" s="1">
        <v>129</v>
      </c>
      <c r="U5" s="10">
        <f t="shared" ref="U5:U12" si="1">T5+20</f>
        <v>149</v>
      </c>
      <c r="V5" s="1"/>
      <c r="W5" s="3"/>
      <c r="X5" s="1">
        <v>2</v>
      </c>
      <c r="Y5" s="7" t="s">
        <v>81</v>
      </c>
      <c r="Z5" s="6"/>
      <c r="AA5" s="6" t="s">
        <v>80</v>
      </c>
      <c r="AB5" s="6"/>
      <c r="AC5" s="5">
        <v>3112</v>
      </c>
      <c r="AD5" s="5"/>
      <c r="AE5" s="1">
        <v>229</v>
      </c>
      <c r="AF5" s="1">
        <v>185</v>
      </c>
      <c r="AG5" s="14">
        <f t="shared" ref="AG5:AG30" si="2">AF5+25</f>
        <v>210</v>
      </c>
      <c r="AH5" s="1"/>
      <c r="AI5" s="3"/>
      <c r="AJ5" s="1">
        <v>2</v>
      </c>
      <c r="AK5" s="7" t="s">
        <v>133</v>
      </c>
      <c r="AL5" s="6"/>
      <c r="AM5" s="6" t="s">
        <v>134</v>
      </c>
      <c r="AN5" s="6"/>
      <c r="AO5" s="5">
        <v>1312</v>
      </c>
      <c r="AP5" s="5"/>
      <c r="AQ5" s="1">
        <v>39</v>
      </c>
      <c r="AR5" s="1"/>
      <c r="AS5" s="11">
        <f t="shared" ref="AS5:AS7" si="3">AQ5+20</f>
        <v>59</v>
      </c>
      <c r="AT5" s="13"/>
      <c r="AU5" s="1"/>
      <c r="AV5" s="9"/>
      <c r="AW5" s="6"/>
      <c r="AX5" s="6"/>
      <c r="AY5" s="6"/>
      <c r="AZ5" s="6"/>
      <c r="BA5" s="5"/>
      <c r="BB5" s="5"/>
      <c r="BC5" s="1"/>
      <c r="BD5" s="1"/>
    </row>
    <row r="6" spans="1:56" x14ac:dyDescent="0.3">
      <c r="A6" s="1">
        <v>3</v>
      </c>
      <c r="B6" s="7" t="s">
        <v>11</v>
      </c>
      <c r="C6" s="6"/>
      <c r="D6" s="6" t="s">
        <v>10</v>
      </c>
      <c r="E6" s="6"/>
      <c r="F6" s="5">
        <v>1213</v>
      </c>
      <c r="G6" s="5"/>
      <c r="H6" s="1">
        <v>309</v>
      </c>
      <c r="I6" s="1" t="s">
        <v>13</v>
      </c>
      <c r="J6" s="12">
        <f t="shared" si="0"/>
        <v>329</v>
      </c>
      <c r="L6" s="3"/>
      <c r="M6" s="1">
        <v>3</v>
      </c>
      <c r="N6" s="7" t="s">
        <v>61</v>
      </c>
      <c r="O6" s="6"/>
      <c r="P6" s="6" t="s">
        <v>62</v>
      </c>
      <c r="Q6" s="6"/>
      <c r="R6" s="5">
        <v>2123</v>
      </c>
      <c r="S6" s="5"/>
      <c r="T6" s="1">
        <v>59</v>
      </c>
      <c r="U6" s="10">
        <f t="shared" si="1"/>
        <v>79</v>
      </c>
      <c r="V6" s="1"/>
      <c r="W6" s="3"/>
      <c r="X6" s="1">
        <v>3</v>
      </c>
      <c r="Y6" s="7" t="s">
        <v>82</v>
      </c>
      <c r="Z6" s="6"/>
      <c r="AA6" s="6" t="s">
        <v>83</v>
      </c>
      <c r="AB6" s="6"/>
      <c r="AC6" s="5">
        <v>3113</v>
      </c>
      <c r="AD6" s="5"/>
      <c r="AE6" s="1">
        <v>249</v>
      </c>
      <c r="AF6" s="1">
        <v>165</v>
      </c>
      <c r="AG6" s="14">
        <f t="shared" si="2"/>
        <v>190</v>
      </c>
      <c r="AH6" s="1"/>
      <c r="AI6" s="3"/>
      <c r="AJ6" s="1">
        <v>3</v>
      </c>
      <c r="AK6" s="7" t="s">
        <v>135</v>
      </c>
      <c r="AL6" s="6"/>
      <c r="AM6" s="6" t="s">
        <v>136</v>
      </c>
      <c r="AN6" s="6"/>
      <c r="AO6" s="5">
        <v>1313</v>
      </c>
      <c r="AP6" s="5"/>
      <c r="AQ6" s="1">
        <v>30</v>
      </c>
      <c r="AR6" s="1"/>
      <c r="AS6" s="11">
        <f t="shared" si="3"/>
        <v>50</v>
      </c>
      <c r="AT6" s="1"/>
      <c r="AU6" s="1"/>
      <c r="AV6" s="9"/>
      <c r="AW6" s="6"/>
      <c r="AX6" s="6"/>
      <c r="AY6" s="6"/>
      <c r="AZ6" s="6"/>
      <c r="BA6" s="5"/>
      <c r="BB6" s="5"/>
      <c r="BC6" s="1"/>
      <c r="BD6" s="1"/>
    </row>
    <row r="7" spans="1:56" x14ac:dyDescent="0.3">
      <c r="A7" s="1">
        <v>4</v>
      </c>
      <c r="B7" s="7" t="s">
        <v>15</v>
      </c>
      <c r="C7" s="6"/>
      <c r="D7" s="6" t="s">
        <v>14</v>
      </c>
      <c r="E7" s="6"/>
      <c r="F7" s="5">
        <v>1214</v>
      </c>
      <c r="G7" s="5"/>
      <c r="H7" s="1">
        <v>299</v>
      </c>
      <c r="I7" s="1">
        <v>239</v>
      </c>
      <c r="J7" s="12">
        <f t="shared" si="0"/>
        <v>319</v>
      </c>
      <c r="L7" s="3"/>
      <c r="M7" s="1">
        <v>4</v>
      </c>
      <c r="N7" s="7" t="s">
        <v>63</v>
      </c>
      <c r="O7" s="6"/>
      <c r="P7" s="6" t="s">
        <v>64</v>
      </c>
      <c r="Q7" s="6"/>
      <c r="R7" s="5">
        <v>2124</v>
      </c>
      <c r="S7" s="5"/>
      <c r="T7" s="1">
        <v>79</v>
      </c>
      <c r="U7" s="10">
        <f t="shared" si="1"/>
        <v>99</v>
      </c>
      <c r="V7" s="1"/>
      <c r="W7" s="3"/>
      <c r="X7" s="1">
        <v>4</v>
      </c>
      <c r="Y7" s="7" t="s">
        <v>84</v>
      </c>
      <c r="Z7" s="6"/>
      <c r="AA7" s="6" t="s">
        <v>85</v>
      </c>
      <c r="AB7" s="6"/>
      <c r="AC7" s="5">
        <v>3114</v>
      </c>
      <c r="AD7" s="5"/>
      <c r="AE7" s="1">
        <v>269</v>
      </c>
      <c r="AF7" s="1">
        <v>206</v>
      </c>
      <c r="AG7" s="14">
        <f t="shared" si="2"/>
        <v>231</v>
      </c>
      <c r="AH7" s="1"/>
      <c r="AI7" s="3"/>
      <c r="AJ7" s="1">
        <v>4</v>
      </c>
      <c r="AK7" s="7" t="s">
        <v>137</v>
      </c>
      <c r="AL7" s="6"/>
      <c r="AM7" s="6" t="s">
        <v>138</v>
      </c>
      <c r="AN7" s="6"/>
      <c r="AO7" s="5">
        <v>1314</v>
      </c>
      <c r="AP7" s="5"/>
      <c r="AQ7" s="1">
        <v>79</v>
      </c>
      <c r="AR7" s="1">
        <v>75</v>
      </c>
      <c r="AS7" s="11">
        <f t="shared" si="3"/>
        <v>99</v>
      </c>
      <c r="AT7" s="1"/>
      <c r="AU7" s="1"/>
      <c r="AV7" s="9"/>
      <c r="AW7" s="6"/>
      <c r="AX7" s="6"/>
      <c r="AY7" s="6"/>
      <c r="AZ7" s="6"/>
      <c r="BA7" s="5"/>
      <c r="BB7" s="5"/>
      <c r="BC7" s="1"/>
      <c r="BD7" s="1"/>
    </row>
    <row r="8" spans="1:56" x14ac:dyDescent="0.3">
      <c r="A8" s="1">
        <v>5</v>
      </c>
      <c r="B8" s="7" t="s">
        <v>17</v>
      </c>
      <c r="C8" s="6"/>
      <c r="D8" s="6" t="s">
        <v>16</v>
      </c>
      <c r="E8" s="6"/>
      <c r="F8" s="5">
        <v>1215</v>
      </c>
      <c r="G8" s="5"/>
      <c r="H8" s="1">
        <v>149</v>
      </c>
      <c r="I8" s="1" t="s">
        <v>18</v>
      </c>
      <c r="J8" s="12">
        <f t="shared" si="0"/>
        <v>169</v>
      </c>
      <c r="L8" s="3"/>
      <c r="M8" s="1">
        <v>5</v>
      </c>
      <c r="N8" s="7" t="s">
        <v>65</v>
      </c>
      <c r="O8" s="6"/>
      <c r="P8" s="6" t="s">
        <v>66</v>
      </c>
      <c r="Q8" s="6"/>
      <c r="R8" s="5">
        <v>2125</v>
      </c>
      <c r="S8" s="5"/>
      <c r="T8" s="1">
        <v>99</v>
      </c>
      <c r="U8" s="10">
        <f t="shared" si="1"/>
        <v>119</v>
      </c>
      <c r="V8" s="1"/>
      <c r="W8" s="3"/>
      <c r="X8" s="1">
        <v>5</v>
      </c>
      <c r="Y8" s="7" t="s">
        <v>86</v>
      </c>
      <c r="Z8" s="6"/>
      <c r="AA8" s="6" t="s">
        <v>83</v>
      </c>
      <c r="AB8" s="6"/>
      <c r="AC8" s="5">
        <v>3115</v>
      </c>
      <c r="AD8" s="5"/>
      <c r="AE8" s="1">
        <v>249</v>
      </c>
      <c r="AF8" s="1">
        <v>165</v>
      </c>
      <c r="AG8" s="14">
        <f t="shared" si="2"/>
        <v>190</v>
      </c>
      <c r="AH8" s="1"/>
      <c r="AI8" s="3"/>
      <c r="AJ8" s="1">
        <v>5</v>
      </c>
      <c r="AK8" s="6"/>
      <c r="AL8" s="6"/>
      <c r="AM8" s="6"/>
      <c r="AN8" s="6"/>
      <c r="AO8" s="5">
        <v>1315</v>
      </c>
      <c r="AP8" s="5"/>
      <c r="AQ8" s="1"/>
      <c r="AR8" s="1"/>
      <c r="AS8" s="11"/>
      <c r="AT8" s="1"/>
      <c r="AU8" s="1"/>
      <c r="AV8" s="9"/>
      <c r="AW8" s="6"/>
      <c r="AX8" s="6"/>
      <c r="AY8" s="6"/>
      <c r="AZ8" s="6"/>
      <c r="BA8" s="5"/>
      <c r="BB8" s="5"/>
      <c r="BC8" s="1"/>
      <c r="BD8" s="1"/>
    </row>
    <row r="9" spans="1:56" x14ac:dyDescent="0.3">
      <c r="A9" s="1">
        <v>6</v>
      </c>
      <c r="B9" s="7" t="s">
        <v>20</v>
      </c>
      <c r="C9" s="6"/>
      <c r="D9" s="6" t="s">
        <v>19</v>
      </c>
      <c r="E9" s="6"/>
      <c r="F9" s="5">
        <v>1216</v>
      </c>
      <c r="G9" s="5"/>
      <c r="H9" s="1">
        <v>119</v>
      </c>
      <c r="I9" s="1"/>
      <c r="J9" s="12">
        <f t="shared" si="0"/>
        <v>139</v>
      </c>
      <c r="L9" s="3"/>
      <c r="M9" s="1">
        <v>6</v>
      </c>
      <c r="N9" s="7" t="s">
        <v>68</v>
      </c>
      <c r="O9" s="6"/>
      <c r="P9" s="6" t="s">
        <v>67</v>
      </c>
      <c r="Q9" s="6"/>
      <c r="R9" s="5">
        <v>2126</v>
      </c>
      <c r="S9" s="5"/>
      <c r="T9" s="1">
        <v>95</v>
      </c>
      <c r="U9" s="10">
        <f t="shared" si="1"/>
        <v>115</v>
      </c>
      <c r="V9" s="1"/>
      <c r="W9" s="3"/>
      <c r="X9" s="1">
        <v>6</v>
      </c>
      <c r="Y9" s="7" t="s">
        <v>88</v>
      </c>
      <c r="Z9" s="6"/>
      <c r="AA9" s="6" t="s">
        <v>87</v>
      </c>
      <c r="AB9" s="6"/>
      <c r="AC9" s="5">
        <v>3116</v>
      </c>
      <c r="AD9" s="5"/>
      <c r="AE9" s="1">
        <v>309</v>
      </c>
      <c r="AF9" s="1">
        <v>231</v>
      </c>
      <c r="AG9" s="14">
        <f t="shared" si="2"/>
        <v>256</v>
      </c>
      <c r="AH9" s="1"/>
      <c r="AI9" s="3"/>
      <c r="AJ9" s="1">
        <v>6</v>
      </c>
      <c r="AK9" s="6"/>
      <c r="AL9" s="6"/>
      <c r="AM9" s="6"/>
      <c r="AN9" s="6"/>
      <c r="AO9" s="5">
        <v>1316</v>
      </c>
      <c r="AP9" s="5"/>
      <c r="AQ9" s="1"/>
      <c r="AR9" s="1"/>
      <c r="AS9" s="11"/>
      <c r="AT9" s="1"/>
      <c r="AU9" s="1"/>
      <c r="AV9" s="9"/>
      <c r="AW9" s="6"/>
      <c r="AX9" s="6"/>
      <c r="AY9" s="6"/>
      <c r="AZ9" s="6"/>
      <c r="BA9" s="5"/>
      <c r="BB9" s="5"/>
      <c r="BC9" s="1"/>
      <c r="BD9" s="1"/>
    </row>
    <row r="10" spans="1:56" x14ac:dyDescent="0.3">
      <c r="A10" s="1">
        <v>7</v>
      </c>
      <c r="B10" s="7" t="s">
        <v>22</v>
      </c>
      <c r="C10" s="6"/>
      <c r="D10" s="6" t="s">
        <v>21</v>
      </c>
      <c r="E10" s="6"/>
      <c r="F10" s="5">
        <v>1217</v>
      </c>
      <c r="G10" s="5"/>
      <c r="H10" s="1">
        <v>149</v>
      </c>
      <c r="I10" s="1"/>
      <c r="J10" s="12">
        <f t="shared" si="0"/>
        <v>169</v>
      </c>
      <c r="L10" s="3"/>
      <c r="M10" s="1">
        <v>7</v>
      </c>
      <c r="N10" s="7" t="s">
        <v>70</v>
      </c>
      <c r="O10" s="6"/>
      <c r="P10" s="6" t="s">
        <v>69</v>
      </c>
      <c r="Q10" s="6"/>
      <c r="R10" s="5">
        <v>2127</v>
      </c>
      <c r="S10" s="5"/>
      <c r="T10" s="1">
        <v>129</v>
      </c>
      <c r="U10" s="10">
        <f t="shared" si="1"/>
        <v>149</v>
      </c>
      <c r="V10" s="1"/>
      <c r="W10" s="3"/>
      <c r="X10" s="1">
        <v>7</v>
      </c>
      <c r="Y10" s="7" t="s">
        <v>90</v>
      </c>
      <c r="Z10" s="6"/>
      <c r="AA10" s="6" t="s">
        <v>89</v>
      </c>
      <c r="AB10" s="6"/>
      <c r="AC10" s="5">
        <v>3117</v>
      </c>
      <c r="AD10" s="5"/>
      <c r="AE10" s="1">
        <v>249</v>
      </c>
      <c r="AF10" s="1">
        <v>146</v>
      </c>
      <c r="AG10" s="14">
        <f t="shared" si="2"/>
        <v>171</v>
      </c>
      <c r="AH10" s="1"/>
      <c r="AI10" s="3"/>
      <c r="AJ10" s="1">
        <v>7</v>
      </c>
      <c r="AK10" s="6"/>
      <c r="AL10" s="6"/>
      <c r="AM10" s="6"/>
      <c r="AN10" s="6"/>
      <c r="AO10" s="5">
        <v>1317</v>
      </c>
      <c r="AP10" s="5"/>
      <c r="AQ10" s="1"/>
      <c r="AR10" s="1"/>
      <c r="AS10" s="11"/>
      <c r="AT10" s="1"/>
      <c r="AU10" s="1"/>
      <c r="AV10" s="9"/>
      <c r="AW10" s="6"/>
      <c r="AX10" s="6"/>
      <c r="AY10" s="6"/>
      <c r="AZ10" s="6"/>
      <c r="BA10" s="5"/>
      <c r="BB10" s="5"/>
      <c r="BC10" s="1"/>
      <c r="BD10" s="1"/>
    </row>
    <row r="11" spans="1:56" x14ac:dyDescent="0.3">
      <c r="A11" s="1">
        <v>8</v>
      </c>
      <c r="B11" s="7" t="s">
        <v>24</v>
      </c>
      <c r="C11" s="6"/>
      <c r="D11" s="6" t="s">
        <v>23</v>
      </c>
      <c r="E11" s="6"/>
      <c r="F11" s="5">
        <v>1218</v>
      </c>
      <c r="G11" s="5"/>
      <c r="H11" s="1">
        <v>169</v>
      </c>
      <c r="I11" s="1">
        <v>135</v>
      </c>
      <c r="J11" s="12">
        <f t="shared" si="0"/>
        <v>189</v>
      </c>
      <c r="L11" s="3"/>
      <c r="M11" s="1">
        <v>8</v>
      </c>
      <c r="N11" s="7" t="s">
        <v>71</v>
      </c>
      <c r="O11" s="6"/>
      <c r="P11" s="6" t="s">
        <v>72</v>
      </c>
      <c r="Q11" s="6"/>
      <c r="R11" s="5">
        <v>2128</v>
      </c>
      <c r="S11" s="5"/>
      <c r="T11" s="1">
        <v>84</v>
      </c>
      <c r="U11" s="10">
        <f t="shared" si="1"/>
        <v>104</v>
      </c>
      <c r="V11" s="1"/>
      <c r="W11" s="3"/>
      <c r="X11" s="1">
        <v>8</v>
      </c>
      <c r="Y11" s="7" t="s">
        <v>92</v>
      </c>
      <c r="Z11" s="6"/>
      <c r="AA11" s="6" t="s">
        <v>91</v>
      </c>
      <c r="AB11" s="6"/>
      <c r="AC11" s="5">
        <v>3118</v>
      </c>
      <c r="AD11" s="5"/>
      <c r="AE11" s="1">
        <v>309</v>
      </c>
      <c r="AF11" s="1">
        <v>229</v>
      </c>
      <c r="AG11" s="14">
        <f t="shared" si="2"/>
        <v>254</v>
      </c>
      <c r="AH11" s="1"/>
      <c r="AI11" s="3"/>
      <c r="AJ11" s="1">
        <v>8</v>
      </c>
      <c r="AK11" s="6"/>
      <c r="AL11" s="6"/>
      <c r="AM11" s="6"/>
      <c r="AN11" s="6"/>
      <c r="AO11" s="5">
        <v>1318</v>
      </c>
      <c r="AP11" s="5"/>
      <c r="AQ11" s="1"/>
      <c r="AR11" s="1"/>
      <c r="AS11" s="11"/>
      <c r="AT11" s="1"/>
      <c r="AU11" s="1"/>
      <c r="AV11" s="9"/>
      <c r="AW11" s="6"/>
      <c r="AX11" s="6"/>
      <c r="AY11" s="6"/>
      <c r="AZ11" s="6"/>
      <c r="BA11" s="5"/>
      <c r="BB11" s="5"/>
      <c r="BC11" s="1"/>
      <c r="BD11" s="1"/>
    </row>
    <row r="12" spans="1:56" x14ac:dyDescent="0.3">
      <c r="A12" s="1">
        <v>9</v>
      </c>
      <c r="B12" s="7" t="s">
        <v>25</v>
      </c>
      <c r="C12" s="6"/>
      <c r="D12" s="6" t="s">
        <v>16</v>
      </c>
      <c r="E12" s="6"/>
      <c r="F12" s="5">
        <v>1219</v>
      </c>
      <c r="G12" s="5"/>
      <c r="H12" s="1">
        <v>149</v>
      </c>
      <c r="I12" s="1"/>
      <c r="J12" s="12">
        <f t="shared" si="0"/>
        <v>169</v>
      </c>
      <c r="L12" s="3"/>
      <c r="M12" s="1">
        <v>9</v>
      </c>
      <c r="N12" s="7" t="s">
        <v>73</v>
      </c>
      <c r="O12" s="6"/>
      <c r="P12" s="6" t="s">
        <v>74</v>
      </c>
      <c r="Q12" s="6"/>
      <c r="R12" s="5">
        <v>2129</v>
      </c>
      <c r="S12" s="5"/>
      <c r="T12" s="1">
        <v>115</v>
      </c>
      <c r="U12" s="10">
        <f t="shared" si="1"/>
        <v>135</v>
      </c>
      <c r="V12" s="13"/>
      <c r="W12" s="3"/>
      <c r="X12" s="1">
        <v>9</v>
      </c>
      <c r="Y12" s="7" t="s">
        <v>94</v>
      </c>
      <c r="Z12" s="6"/>
      <c r="AA12" s="6" t="s">
        <v>93</v>
      </c>
      <c r="AB12" s="6"/>
      <c r="AC12" s="5">
        <v>3119</v>
      </c>
      <c r="AD12" s="5"/>
      <c r="AE12" s="1">
        <v>319</v>
      </c>
      <c r="AF12" s="1">
        <v>204</v>
      </c>
      <c r="AG12" s="14">
        <f t="shared" si="2"/>
        <v>229</v>
      </c>
      <c r="AH12" s="1"/>
      <c r="AI12" s="3"/>
      <c r="AJ12" s="1">
        <v>9</v>
      </c>
      <c r="AK12" s="6"/>
      <c r="AL12" s="6"/>
      <c r="AM12" s="6"/>
      <c r="AN12" s="6"/>
      <c r="AO12" s="5">
        <v>1319</v>
      </c>
      <c r="AP12" s="5"/>
      <c r="AQ12" s="1"/>
      <c r="AR12" s="1"/>
      <c r="AS12" s="11"/>
      <c r="AT12" s="1"/>
      <c r="AU12" s="1"/>
      <c r="AV12" s="9"/>
      <c r="AW12" s="6"/>
      <c r="AX12" s="6"/>
      <c r="AY12" s="6"/>
      <c r="AZ12" s="6"/>
      <c r="BA12" s="5"/>
      <c r="BB12" s="5"/>
      <c r="BC12" s="1"/>
      <c r="BD12" s="1"/>
    </row>
    <row r="13" spans="1:56" x14ac:dyDescent="0.3">
      <c r="A13" s="1">
        <v>10</v>
      </c>
      <c r="B13" s="7" t="s">
        <v>27</v>
      </c>
      <c r="C13" s="6"/>
      <c r="D13" s="6" t="s">
        <v>26</v>
      </c>
      <c r="E13" s="6"/>
      <c r="F13" s="5">
        <v>1220</v>
      </c>
      <c r="G13" s="5"/>
      <c r="H13" s="1">
        <v>139</v>
      </c>
      <c r="I13" s="1"/>
      <c r="J13" s="12">
        <f t="shared" si="0"/>
        <v>159</v>
      </c>
      <c r="L13" s="3"/>
      <c r="M13" s="1">
        <v>10</v>
      </c>
      <c r="N13" s="6"/>
      <c r="O13" s="6"/>
      <c r="P13" s="6"/>
      <c r="Q13" s="6"/>
      <c r="R13" s="5">
        <v>2130</v>
      </c>
      <c r="S13" s="5"/>
      <c r="T13" s="1"/>
      <c r="U13" s="10"/>
      <c r="V13" s="1"/>
      <c r="W13" s="3"/>
      <c r="X13" s="1">
        <v>10</v>
      </c>
      <c r="Y13" s="7" t="s">
        <v>96</v>
      </c>
      <c r="Z13" s="6"/>
      <c r="AA13" s="6" t="s">
        <v>95</v>
      </c>
      <c r="AB13" s="6"/>
      <c r="AC13" s="5">
        <v>3120</v>
      </c>
      <c r="AD13" s="5"/>
      <c r="AE13" s="1">
        <v>349</v>
      </c>
      <c r="AF13" s="1">
        <v>266</v>
      </c>
      <c r="AG13" s="14">
        <f t="shared" si="2"/>
        <v>291</v>
      </c>
      <c r="AH13" s="1"/>
      <c r="AI13" s="3"/>
      <c r="AJ13" s="1">
        <v>10</v>
      </c>
      <c r="AK13" s="6"/>
      <c r="AL13" s="6"/>
      <c r="AM13" s="6"/>
      <c r="AN13" s="6"/>
      <c r="AO13" s="5">
        <v>1320</v>
      </c>
      <c r="AP13" s="5"/>
      <c r="AQ13" s="1"/>
      <c r="AR13" s="1"/>
      <c r="AS13" s="11"/>
      <c r="AT13" s="1"/>
      <c r="AU13" s="1"/>
      <c r="AV13" s="9"/>
      <c r="AW13" s="6"/>
      <c r="AX13" s="6"/>
      <c r="AY13" s="6"/>
      <c r="AZ13" s="6"/>
      <c r="BA13" s="5"/>
      <c r="BB13" s="5"/>
      <c r="BC13" s="1"/>
      <c r="BD13" s="1"/>
    </row>
    <row r="14" spans="1:56" x14ac:dyDescent="0.3">
      <c r="A14" s="1">
        <v>11</v>
      </c>
      <c r="B14" s="7" t="s">
        <v>29</v>
      </c>
      <c r="C14" s="6"/>
      <c r="D14" s="6" t="s">
        <v>28</v>
      </c>
      <c r="E14" s="6"/>
      <c r="F14" s="5">
        <v>1221</v>
      </c>
      <c r="G14" s="5"/>
      <c r="H14" s="1">
        <v>219</v>
      </c>
      <c r="I14" s="1">
        <v>205</v>
      </c>
      <c r="J14" s="12">
        <f t="shared" si="0"/>
        <v>239</v>
      </c>
      <c r="L14" s="3"/>
      <c r="M14" s="1">
        <v>11</v>
      </c>
      <c r="N14" s="6"/>
      <c r="O14" s="6"/>
      <c r="P14" s="6"/>
      <c r="Q14" s="6"/>
      <c r="R14" s="5">
        <v>2131</v>
      </c>
      <c r="S14" s="5"/>
      <c r="T14" s="1"/>
      <c r="U14" s="10"/>
      <c r="V14" s="1"/>
      <c r="W14" s="3"/>
      <c r="X14" s="1">
        <v>11</v>
      </c>
      <c r="Y14" s="7" t="s">
        <v>97</v>
      </c>
      <c r="Z14" s="6"/>
      <c r="AA14" s="6" t="s">
        <v>98</v>
      </c>
      <c r="AB14" s="6"/>
      <c r="AC14" s="5">
        <v>3121</v>
      </c>
      <c r="AD14" s="5"/>
      <c r="AE14" s="1">
        <v>509</v>
      </c>
      <c r="AF14" s="1">
        <v>401</v>
      </c>
      <c r="AG14" s="14">
        <f t="shared" si="2"/>
        <v>426</v>
      </c>
      <c r="AH14" s="1"/>
      <c r="AI14" s="3"/>
      <c r="AJ14" s="1">
        <v>11</v>
      </c>
      <c r="AK14" s="6"/>
      <c r="AL14" s="6"/>
      <c r="AM14" s="6"/>
      <c r="AN14" s="6"/>
      <c r="AO14" s="5">
        <v>1321</v>
      </c>
      <c r="AP14" s="5"/>
      <c r="AQ14" s="1"/>
      <c r="AR14" s="1"/>
      <c r="AS14" s="11"/>
      <c r="AT14" s="1"/>
      <c r="AU14" s="1"/>
      <c r="AV14" s="9"/>
      <c r="AW14" s="6"/>
      <c r="AX14" s="6"/>
      <c r="AY14" s="6"/>
      <c r="AZ14" s="6"/>
      <c r="BA14" s="5"/>
      <c r="BB14" s="5"/>
      <c r="BC14" s="1"/>
      <c r="BD14" s="1"/>
    </row>
    <row r="15" spans="1:56" x14ac:dyDescent="0.3">
      <c r="A15" s="1">
        <v>12</v>
      </c>
      <c r="B15" s="7" t="s">
        <v>31</v>
      </c>
      <c r="C15" s="6"/>
      <c r="D15" s="6" t="s">
        <v>30</v>
      </c>
      <c r="E15" s="6"/>
      <c r="F15" s="5">
        <v>1222</v>
      </c>
      <c r="G15" s="5"/>
      <c r="H15" s="1">
        <v>219</v>
      </c>
      <c r="I15" s="1">
        <v>205</v>
      </c>
      <c r="J15" s="12">
        <f t="shared" si="0"/>
        <v>239</v>
      </c>
      <c r="L15" s="3"/>
      <c r="M15" s="1">
        <v>12</v>
      </c>
      <c r="N15" s="6"/>
      <c r="O15" s="6"/>
      <c r="P15" s="6"/>
      <c r="Q15" s="6"/>
      <c r="R15" s="5">
        <v>2132</v>
      </c>
      <c r="S15" s="5"/>
      <c r="T15" s="1"/>
      <c r="U15" s="10"/>
      <c r="V15" s="1"/>
      <c r="W15" s="3"/>
      <c r="X15" s="1">
        <v>12</v>
      </c>
      <c r="Y15" s="7" t="s">
        <v>100</v>
      </c>
      <c r="Z15" s="6"/>
      <c r="AA15" s="6" t="s">
        <v>99</v>
      </c>
      <c r="AB15" s="6"/>
      <c r="AC15" s="5">
        <v>3122</v>
      </c>
      <c r="AD15" s="5"/>
      <c r="AE15" s="1">
        <v>719</v>
      </c>
      <c r="AF15" s="1">
        <v>487</v>
      </c>
      <c r="AG15" s="14">
        <f t="shared" si="2"/>
        <v>512</v>
      </c>
      <c r="AH15" s="1"/>
      <c r="AI15" s="3"/>
      <c r="AJ15" s="1">
        <v>12</v>
      </c>
      <c r="AK15" s="6"/>
      <c r="AL15" s="6"/>
      <c r="AM15" s="6"/>
      <c r="AN15" s="6"/>
      <c r="AO15" s="5">
        <v>1322</v>
      </c>
      <c r="AP15" s="5"/>
      <c r="AQ15" s="1"/>
      <c r="AR15" s="1"/>
      <c r="AS15" s="11"/>
      <c r="AT15" s="1"/>
      <c r="AU15" s="1"/>
      <c r="AV15" s="9"/>
      <c r="AW15" s="6"/>
      <c r="AX15" s="6"/>
      <c r="AY15" s="6"/>
      <c r="AZ15" s="6"/>
      <c r="BA15" s="5"/>
      <c r="BB15" s="5"/>
      <c r="BC15" s="1"/>
      <c r="BD15" s="1"/>
    </row>
    <row r="16" spans="1:56" x14ac:dyDescent="0.3">
      <c r="A16" s="1">
        <v>13</v>
      </c>
      <c r="B16" s="7" t="s">
        <v>33</v>
      </c>
      <c r="C16" s="6"/>
      <c r="D16" s="6" t="s">
        <v>32</v>
      </c>
      <c r="E16" s="6"/>
      <c r="F16" s="5">
        <v>1223</v>
      </c>
      <c r="G16" s="5"/>
      <c r="H16" s="1">
        <v>199</v>
      </c>
      <c r="I16" s="1">
        <v>195</v>
      </c>
      <c r="J16" s="12">
        <f t="shared" si="0"/>
        <v>219</v>
      </c>
      <c r="L16" s="3"/>
      <c r="M16" s="1">
        <v>13</v>
      </c>
      <c r="N16" s="6"/>
      <c r="O16" s="6"/>
      <c r="P16" s="6"/>
      <c r="Q16" s="6"/>
      <c r="R16" s="5">
        <v>2133</v>
      </c>
      <c r="S16" s="5"/>
      <c r="T16" s="1"/>
      <c r="U16" s="10"/>
      <c r="V16" s="1"/>
      <c r="W16" s="3"/>
      <c r="X16" s="1">
        <v>13</v>
      </c>
      <c r="Y16" s="7" t="s">
        <v>101</v>
      </c>
      <c r="Z16" s="6"/>
      <c r="AA16" s="6" t="s">
        <v>89</v>
      </c>
      <c r="AB16" s="6"/>
      <c r="AC16" s="5">
        <v>3123</v>
      </c>
      <c r="AD16" s="5"/>
      <c r="AE16" s="1">
        <v>249</v>
      </c>
      <c r="AF16" s="1">
        <v>146</v>
      </c>
      <c r="AG16" s="14">
        <f t="shared" si="2"/>
        <v>171</v>
      </c>
      <c r="AH16" s="1"/>
      <c r="AI16" s="3"/>
      <c r="AJ16" s="1">
        <v>13</v>
      </c>
      <c r="AK16" s="6"/>
      <c r="AL16" s="6"/>
      <c r="AM16" s="6"/>
      <c r="AN16" s="6"/>
      <c r="AO16" s="5">
        <v>1323</v>
      </c>
      <c r="AP16" s="5"/>
      <c r="AQ16" s="1"/>
      <c r="AR16" s="1"/>
      <c r="AS16" s="11"/>
      <c r="AT16" s="1"/>
      <c r="AU16" s="1"/>
      <c r="AV16" s="9"/>
      <c r="AW16" s="6"/>
      <c r="AX16" s="6"/>
      <c r="AY16" s="6"/>
      <c r="AZ16" s="6"/>
      <c r="BA16" s="5"/>
      <c r="BB16" s="5"/>
      <c r="BC16" s="1"/>
      <c r="BD16" s="1"/>
    </row>
    <row r="17" spans="1:56" x14ac:dyDescent="0.3">
      <c r="A17" s="1">
        <v>14</v>
      </c>
      <c r="B17" s="7" t="s">
        <v>35</v>
      </c>
      <c r="C17" s="6"/>
      <c r="D17" s="6" t="s">
        <v>34</v>
      </c>
      <c r="E17" s="6"/>
      <c r="F17" s="5">
        <v>1224</v>
      </c>
      <c r="G17" s="5"/>
      <c r="H17" s="1">
        <v>374</v>
      </c>
      <c r="I17" s="1">
        <v>399</v>
      </c>
      <c r="J17" s="12">
        <f t="shared" si="0"/>
        <v>394</v>
      </c>
      <c r="L17" s="3"/>
      <c r="M17" s="1">
        <v>14</v>
      </c>
      <c r="N17" s="6"/>
      <c r="O17" s="6"/>
      <c r="P17" s="6"/>
      <c r="Q17" s="6"/>
      <c r="R17" s="5">
        <v>2134</v>
      </c>
      <c r="S17" s="5"/>
      <c r="T17" s="1"/>
      <c r="U17" s="10"/>
      <c r="V17" s="1"/>
      <c r="W17" s="3"/>
      <c r="X17" s="1">
        <v>14</v>
      </c>
      <c r="Y17" s="7" t="s">
        <v>103</v>
      </c>
      <c r="Z17" s="6"/>
      <c r="AA17" s="6" t="s">
        <v>102</v>
      </c>
      <c r="AB17" s="6"/>
      <c r="AC17" s="5">
        <v>3124</v>
      </c>
      <c r="AD17" s="5"/>
      <c r="AE17" s="1">
        <v>229</v>
      </c>
      <c r="AF17" s="1">
        <v>165</v>
      </c>
      <c r="AG17" s="14">
        <f t="shared" si="2"/>
        <v>190</v>
      </c>
      <c r="AH17" s="1"/>
      <c r="AI17" s="3"/>
      <c r="AJ17" s="1">
        <v>14</v>
      </c>
      <c r="AK17" s="6"/>
      <c r="AL17" s="6"/>
      <c r="AM17" s="6"/>
      <c r="AN17" s="6"/>
      <c r="AO17" s="5">
        <v>1324</v>
      </c>
      <c r="AP17" s="5"/>
      <c r="AQ17" s="1"/>
      <c r="AR17" s="1"/>
      <c r="AS17" s="11"/>
      <c r="AT17" s="1"/>
      <c r="AU17" s="1"/>
      <c r="AV17" s="9"/>
      <c r="AW17" s="6"/>
      <c r="AX17" s="6"/>
      <c r="AY17" s="6"/>
      <c r="AZ17" s="6"/>
      <c r="BA17" s="5"/>
      <c r="BB17" s="5"/>
      <c r="BC17" s="1"/>
      <c r="BD17" s="1"/>
    </row>
    <row r="18" spans="1:56" x14ac:dyDescent="0.3">
      <c r="A18" s="1">
        <v>15</v>
      </c>
      <c r="B18" s="7" t="s">
        <v>37</v>
      </c>
      <c r="C18" s="6"/>
      <c r="D18" s="6" t="s">
        <v>36</v>
      </c>
      <c r="E18" s="6"/>
      <c r="F18" s="5">
        <v>1225</v>
      </c>
      <c r="G18" s="5"/>
      <c r="H18" s="1">
        <v>449</v>
      </c>
      <c r="I18" s="1">
        <v>405</v>
      </c>
      <c r="J18" s="12">
        <f t="shared" si="0"/>
        <v>469</v>
      </c>
      <c r="L18" s="3"/>
      <c r="M18" s="1">
        <v>15</v>
      </c>
      <c r="N18" s="6"/>
      <c r="O18" s="6"/>
      <c r="P18" s="6"/>
      <c r="Q18" s="6"/>
      <c r="R18" s="5">
        <v>2135</v>
      </c>
      <c r="S18" s="5"/>
      <c r="T18" s="1"/>
      <c r="U18" s="10"/>
      <c r="V18" s="1"/>
      <c r="W18" s="3"/>
      <c r="X18" s="1">
        <v>15</v>
      </c>
      <c r="Y18" s="7" t="s">
        <v>105</v>
      </c>
      <c r="Z18" s="6"/>
      <c r="AA18" s="6" t="s">
        <v>104</v>
      </c>
      <c r="AB18" s="6"/>
      <c r="AC18" s="5">
        <v>3125</v>
      </c>
      <c r="AD18" s="5"/>
      <c r="AE18" s="1">
        <v>519</v>
      </c>
      <c r="AF18" s="1">
        <v>406</v>
      </c>
      <c r="AG18" s="14">
        <f t="shared" si="2"/>
        <v>431</v>
      </c>
      <c r="AH18" s="1"/>
      <c r="AI18" s="3"/>
      <c r="AJ18" s="1">
        <v>15</v>
      </c>
      <c r="AK18" s="6"/>
      <c r="AL18" s="6"/>
      <c r="AM18" s="6"/>
      <c r="AN18" s="6"/>
      <c r="AO18" s="5">
        <v>1325</v>
      </c>
      <c r="AP18" s="5"/>
      <c r="AQ18" s="1"/>
      <c r="AR18" s="1"/>
      <c r="AS18" s="11"/>
      <c r="AT18" s="1"/>
      <c r="AU18" s="1"/>
      <c r="AV18" s="9"/>
      <c r="AW18" s="6"/>
      <c r="AX18" s="6"/>
      <c r="AY18" s="6"/>
      <c r="AZ18" s="6"/>
      <c r="BA18" s="5"/>
      <c r="BB18" s="5"/>
      <c r="BC18" s="1"/>
      <c r="BD18" s="1"/>
    </row>
    <row r="19" spans="1:56" x14ac:dyDescent="0.3">
      <c r="A19" s="1">
        <v>16</v>
      </c>
      <c r="B19" s="7" t="s">
        <v>39</v>
      </c>
      <c r="C19" s="6"/>
      <c r="D19" s="6" t="s">
        <v>38</v>
      </c>
      <c r="E19" s="6"/>
      <c r="F19" s="5">
        <v>1226</v>
      </c>
      <c r="G19" s="5"/>
      <c r="H19" s="1">
        <v>599</v>
      </c>
      <c r="I19" s="1">
        <v>547</v>
      </c>
      <c r="J19" s="12">
        <f t="shared" si="0"/>
        <v>619</v>
      </c>
      <c r="L19" s="3"/>
      <c r="M19" s="1">
        <v>16</v>
      </c>
      <c r="N19" s="6"/>
      <c r="O19" s="6"/>
      <c r="P19" s="6"/>
      <c r="Q19" s="6"/>
      <c r="R19" s="5">
        <v>2136</v>
      </c>
      <c r="S19" s="5"/>
      <c r="T19" s="1"/>
      <c r="U19" s="10"/>
      <c r="V19" s="1"/>
      <c r="W19" s="3"/>
      <c r="X19" s="1">
        <v>16</v>
      </c>
      <c r="Y19" s="7" t="s">
        <v>106</v>
      </c>
      <c r="Z19" s="6"/>
      <c r="AA19" s="6" t="s">
        <v>107</v>
      </c>
      <c r="AB19" s="6"/>
      <c r="AC19" s="5">
        <v>3126</v>
      </c>
      <c r="AD19" s="5"/>
      <c r="AE19" s="1">
        <v>339</v>
      </c>
      <c r="AF19" s="1">
        <v>238</v>
      </c>
      <c r="AG19" s="14">
        <f t="shared" si="2"/>
        <v>263</v>
      </c>
      <c r="AH19" s="1"/>
      <c r="AI19" s="3"/>
      <c r="AJ19" s="1">
        <v>16</v>
      </c>
      <c r="AK19" s="6"/>
      <c r="AL19" s="6"/>
      <c r="AM19" s="6"/>
      <c r="AN19" s="6"/>
      <c r="AO19" s="5">
        <v>1326</v>
      </c>
      <c r="AP19" s="5"/>
      <c r="AQ19" s="1"/>
      <c r="AR19" s="1"/>
      <c r="AS19" s="11"/>
      <c r="AT19" s="1"/>
      <c r="AU19" s="1"/>
      <c r="AV19" s="9"/>
      <c r="AW19" s="6"/>
      <c r="AX19" s="6"/>
      <c r="AY19" s="6"/>
      <c r="AZ19" s="6"/>
      <c r="BA19" s="5"/>
      <c r="BB19" s="5"/>
      <c r="BC19" s="1"/>
      <c r="BD19" s="1"/>
    </row>
    <row r="20" spans="1:56" x14ac:dyDescent="0.3">
      <c r="A20" s="1">
        <v>17</v>
      </c>
      <c r="B20" s="7" t="s">
        <v>40</v>
      </c>
      <c r="C20" s="6"/>
      <c r="D20" s="6" t="s">
        <v>36</v>
      </c>
      <c r="E20" s="6"/>
      <c r="F20" s="5">
        <v>1227</v>
      </c>
      <c r="G20" s="5"/>
      <c r="H20" s="1">
        <v>449</v>
      </c>
      <c r="I20" s="1">
        <v>405</v>
      </c>
      <c r="J20" s="12">
        <f t="shared" si="0"/>
        <v>469</v>
      </c>
      <c r="L20" s="3"/>
      <c r="M20" s="1">
        <v>17</v>
      </c>
      <c r="N20" s="6"/>
      <c r="O20" s="6"/>
      <c r="P20" s="6"/>
      <c r="Q20" s="6"/>
      <c r="R20" s="5">
        <v>2137</v>
      </c>
      <c r="S20" s="5"/>
      <c r="T20" s="1"/>
      <c r="U20" s="10"/>
      <c r="V20" s="1"/>
      <c r="W20" s="3"/>
      <c r="X20" s="1">
        <v>17</v>
      </c>
      <c r="Y20" s="7" t="s">
        <v>109</v>
      </c>
      <c r="Z20" s="6"/>
      <c r="AA20" s="6" t="s">
        <v>108</v>
      </c>
      <c r="AB20" s="6"/>
      <c r="AC20" s="5">
        <v>3127</v>
      </c>
      <c r="AD20" s="5"/>
      <c r="AE20" s="1">
        <v>479</v>
      </c>
      <c r="AF20" s="1">
        <v>306</v>
      </c>
      <c r="AG20" s="14">
        <f t="shared" si="2"/>
        <v>331</v>
      </c>
      <c r="AH20" s="1"/>
      <c r="AI20" s="3"/>
      <c r="AJ20" s="1">
        <v>17</v>
      </c>
      <c r="AK20" s="6"/>
      <c r="AL20" s="6"/>
      <c r="AM20" s="6"/>
      <c r="AN20" s="6"/>
      <c r="AO20" s="5">
        <v>1327</v>
      </c>
      <c r="AP20" s="5"/>
      <c r="AQ20" s="1"/>
      <c r="AR20" s="1"/>
      <c r="AS20" s="11"/>
      <c r="AT20" s="1"/>
      <c r="AU20" s="1"/>
      <c r="AV20" s="9"/>
      <c r="AW20" s="6"/>
      <c r="AX20" s="6"/>
      <c r="AY20" s="6"/>
      <c r="AZ20" s="6"/>
      <c r="BA20" s="5"/>
      <c r="BB20" s="5"/>
      <c r="BC20" s="1"/>
      <c r="BD20" s="1"/>
    </row>
    <row r="21" spans="1:56" x14ac:dyDescent="0.3">
      <c r="A21" s="1">
        <v>18</v>
      </c>
      <c r="B21" s="7" t="s">
        <v>42</v>
      </c>
      <c r="C21" s="6"/>
      <c r="D21" s="6" t="s">
        <v>41</v>
      </c>
      <c r="E21" s="6"/>
      <c r="F21" s="5">
        <v>1228</v>
      </c>
      <c r="G21" s="5"/>
      <c r="H21" s="1">
        <v>399</v>
      </c>
      <c r="I21" s="1">
        <v>377</v>
      </c>
      <c r="J21" s="12">
        <f t="shared" si="0"/>
        <v>419</v>
      </c>
      <c r="L21" s="3"/>
      <c r="M21" s="1">
        <v>18</v>
      </c>
      <c r="N21" s="6"/>
      <c r="O21" s="6"/>
      <c r="P21" s="6"/>
      <c r="Q21" s="6"/>
      <c r="R21" s="5">
        <v>2138</v>
      </c>
      <c r="S21" s="5"/>
      <c r="T21" s="1"/>
      <c r="U21" s="10"/>
      <c r="V21" s="1"/>
      <c r="W21" s="3"/>
      <c r="X21" s="1">
        <v>18</v>
      </c>
      <c r="Y21" s="7" t="s">
        <v>111</v>
      </c>
      <c r="Z21" s="6"/>
      <c r="AA21" s="6" t="s">
        <v>110</v>
      </c>
      <c r="AB21" s="6"/>
      <c r="AC21" s="5">
        <v>3128</v>
      </c>
      <c r="AD21" s="5"/>
      <c r="AE21" s="1">
        <v>329</v>
      </c>
      <c r="AF21" s="1">
        <v>288</v>
      </c>
      <c r="AG21" s="14">
        <f t="shared" si="2"/>
        <v>313</v>
      </c>
      <c r="AH21" s="1"/>
      <c r="AI21" s="3"/>
      <c r="AJ21" s="1">
        <v>18</v>
      </c>
      <c r="AK21" s="6"/>
      <c r="AL21" s="6"/>
      <c r="AM21" s="6"/>
      <c r="AN21" s="6"/>
      <c r="AO21" s="5">
        <v>1328</v>
      </c>
      <c r="AP21" s="5"/>
      <c r="AQ21" s="1"/>
      <c r="AR21" s="1"/>
      <c r="AS21" s="11"/>
      <c r="AT21" s="1"/>
      <c r="AU21" s="1"/>
      <c r="AV21" s="9"/>
      <c r="AW21" s="6"/>
      <c r="AX21" s="6"/>
      <c r="AY21" s="6"/>
      <c r="AZ21" s="6"/>
      <c r="BA21" s="5"/>
      <c r="BB21" s="5"/>
      <c r="BC21" s="1"/>
      <c r="BD21" s="1"/>
    </row>
    <row r="22" spans="1:56" x14ac:dyDescent="0.3">
      <c r="A22" s="1">
        <v>19</v>
      </c>
      <c r="B22" s="7" t="s">
        <v>44</v>
      </c>
      <c r="C22" s="6"/>
      <c r="D22" s="6" t="s">
        <v>43</v>
      </c>
      <c r="E22" s="6"/>
      <c r="F22" s="5">
        <v>1229</v>
      </c>
      <c r="G22" s="5"/>
      <c r="H22" s="1">
        <v>229</v>
      </c>
      <c r="I22" s="1">
        <v>145</v>
      </c>
      <c r="J22" s="12">
        <f t="shared" si="0"/>
        <v>249</v>
      </c>
      <c r="L22" s="3"/>
      <c r="M22" s="1">
        <v>19</v>
      </c>
      <c r="N22" s="6"/>
      <c r="O22" s="6"/>
      <c r="P22" s="6"/>
      <c r="Q22" s="6"/>
      <c r="R22" s="5">
        <v>2139</v>
      </c>
      <c r="S22" s="5"/>
      <c r="T22" s="1"/>
      <c r="U22" s="10"/>
      <c r="V22" s="1"/>
      <c r="W22" s="3"/>
      <c r="X22" s="1">
        <v>19</v>
      </c>
      <c r="Y22" s="7" t="s">
        <v>113</v>
      </c>
      <c r="Z22" s="6"/>
      <c r="AA22" s="6" t="s">
        <v>112</v>
      </c>
      <c r="AB22" s="6"/>
      <c r="AC22" s="5">
        <v>3129</v>
      </c>
      <c r="AD22" s="5"/>
      <c r="AE22" s="1">
        <v>649</v>
      </c>
      <c r="AF22" s="1">
        <v>649</v>
      </c>
      <c r="AG22" s="14">
        <f t="shared" si="2"/>
        <v>674</v>
      </c>
      <c r="AH22" s="1"/>
      <c r="AI22" s="3"/>
      <c r="AJ22" s="1">
        <v>19</v>
      </c>
      <c r="AK22" s="6"/>
      <c r="AL22" s="6"/>
      <c r="AM22" s="6"/>
      <c r="AN22" s="6"/>
      <c r="AO22" s="5">
        <v>1329</v>
      </c>
      <c r="AP22" s="5"/>
      <c r="AQ22" s="1"/>
      <c r="AR22" s="1"/>
      <c r="AS22" s="11"/>
      <c r="AT22" s="1"/>
      <c r="AU22" s="1"/>
      <c r="AV22" s="9"/>
      <c r="AW22" s="6"/>
      <c r="AX22" s="6"/>
      <c r="AY22" s="6"/>
      <c r="AZ22" s="6"/>
      <c r="BA22" s="5"/>
      <c r="BB22" s="5"/>
      <c r="BC22" s="1"/>
      <c r="BD22" s="1"/>
    </row>
    <row r="23" spans="1:56" x14ac:dyDescent="0.3">
      <c r="A23" s="1">
        <v>20</v>
      </c>
      <c r="B23" s="7" t="s">
        <v>46</v>
      </c>
      <c r="C23" s="6"/>
      <c r="D23" s="6" t="s">
        <v>45</v>
      </c>
      <c r="E23" s="6"/>
      <c r="F23" s="5">
        <v>1230</v>
      </c>
      <c r="G23" s="5"/>
      <c r="H23" s="1">
        <v>309</v>
      </c>
      <c r="I23" s="1">
        <v>245</v>
      </c>
      <c r="J23" s="12">
        <f t="shared" si="0"/>
        <v>329</v>
      </c>
      <c r="L23" s="3"/>
      <c r="M23" s="1">
        <v>20</v>
      </c>
      <c r="N23" s="6"/>
      <c r="O23" s="6"/>
      <c r="P23" s="6"/>
      <c r="Q23" s="6"/>
      <c r="R23" s="5">
        <v>2140</v>
      </c>
      <c r="S23" s="5"/>
      <c r="T23" s="1"/>
      <c r="U23" s="10"/>
      <c r="V23" s="1"/>
      <c r="W23" s="3"/>
      <c r="X23" s="1">
        <v>20</v>
      </c>
      <c r="Y23" s="7" t="s">
        <v>115</v>
      </c>
      <c r="Z23" s="6"/>
      <c r="AA23" s="6" t="s">
        <v>114</v>
      </c>
      <c r="AB23" s="6"/>
      <c r="AC23" s="5">
        <v>3130</v>
      </c>
      <c r="AD23" s="5"/>
      <c r="AE23" s="1">
        <v>650</v>
      </c>
      <c r="AF23" s="1">
        <v>650</v>
      </c>
      <c r="AG23" s="14">
        <f t="shared" si="2"/>
        <v>675</v>
      </c>
      <c r="AH23" s="1"/>
      <c r="AI23" s="3"/>
      <c r="AJ23" s="1">
        <v>20</v>
      </c>
      <c r="AK23" s="6"/>
      <c r="AL23" s="6"/>
      <c r="AM23" s="6"/>
      <c r="AN23" s="6"/>
      <c r="AO23" s="5">
        <v>1330</v>
      </c>
      <c r="AP23" s="5"/>
      <c r="AQ23" s="1"/>
      <c r="AR23" s="1"/>
      <c r="AS23" s="11"/>
      <c r="AT23" s="1"/>
      <c r="AU23" s="1"/>
      <c r="AV23" s="9"/>
      <c r="AW23" s="6"/>
      <c r="AX23" s="6"/>
      <c r="AY23" s="6"/>
      <c r="AZ23" s="6"/>
      <c r="BA23" s="5"/>
      <c r="BB23" s="5"/>
      <c r="BC23" s="1"/>
      <c r="BD23" s="1"/>
    </row>
    <row r="24" spans="1:56" x14ac:dyDescent="0.3">
      <c r="A24" s="1">
        <v>21</v>
      </c>
      <c r="B24" s="7" t="s">
        <v>48</v>
      </c>
      <c r="C24" s="6"/>
      <c r="D24" s="6" t="s">
        <v>47</v>
      </c>
      <c r="E24" s="6"/>
      <c r="F24" s="5">
        <v>1231</v>
      </c>
      <c r="G24" s="5"/>
      <c r="H24" s="1">
        <v>299</v>
      </c>
      <c r="I24" s="1">
        <v>285</v>
      </c>
      <c r="J24" s="12">
        <f t="shared" si="0"/>
        <v>319</v>
      </c>
      <c r="L24" s="3"/>
      <c r="M24" s="1">
        <v>21</v>
      </c>
      <c r="N24" s="6"/>
      <c r="O24" s="6"/>
      <c r="P24" s="6"/>
      <c r="Q24" s="6"/>
      <c r="R24" s="5">
        <v>2141</v>
      </c>
      <c r="S24" s="5"/>
      <c r="T24" s="1"/>
      <c r="U24" s="10"/>
      <c r="V24" s="1"/>
      <c r="W24" s="3"/>
      <c r="X24" s="1">
        <v>21</v>
      </c>
      <c r="Y24" s="7" t="s">
        <v>117</v>
      </c>
      <c r="Z24" s="6"/>
      <c r="AA24" s="6" t="s">
        <v>116</v>
      </c>
      <c r="AB24" s="6"/>
      <c r="AC24" s="5">
        <v>3131</v>
      </c>
      <c r="AD24" s="5"/>
      <c r="AE24" s="1">
        <v>259</v>
      </c>
      <c r="AF24" s="1">
        <v>178</v>
      </c>
      <c r="AG24" s="14">
        <f t="shared" si="2"/>
        <v>203</v>
      </c>
      <c r="AH24" s="1"/>
      <c r="AI24" s="3"/>
      <c r="AJ24" s="1">
        <v>21</v>
      </c>
      <c r="AK24" s="6"/>
      <c r="AL24" s="6"/>
      <c r="AM24" s="6"/>
      <c r="AN24" s="6"/>
      <c r="AO24" s="5">
        <v>1331</v>
      </c>
      <c r="AP24" s="5"/>
      <c r="AQ24" s="1"/>
      <c r="AR24" s="1"/>
      <c r="AS24" s="11"/>
      <c r="AT24" s="1"/>
      <c r="AU24" s="1"/>
      <c r="AV24" s="9"/>
      <c r="AW24" s="6"/>
      <c r="AX24" s="6"/>
      <c r="AY24" s="6"/>
      <c r="AZ24" s="6"/>
      <c r="BA24" s="5"/>
      <c r="BB24" s="5"/>
      <c r="BC24" s="1"/>
      <c r="BD24" s="1"/>
    </row>
    <row r="25" spans="1:56" x14ac:dyDescent="0.3">
      <c r="A25" s="1">
        <v>22</v>
      </c>
      <c r="B25" s="7" t="s">
        <v>50</v>
      </c>
      <c r="C25" s="6"/>
      <c r="D25" s="6" t="s">
        <v>49</v>
      </c>
      <c r="E25" s="6"/>
      <c r="F25" s="5">
        <v>1232</v>
      </c>
      <c r="G25" s="5"/>
      <c r="H25" s="1">
        <v>169</v>
      </c>
      <c r="I25" s="1"/>
      <c r="J25" s="12">
        <f t="shared" si="0"/>
        <v>189</v>
      </c>
      <c r="L25" s="3"/>
      <c r="M25" s="1">
        <v>22</v>
      </c>
      <c r="N25" s="6"/>
      <c r="O25" s="6"/>
      <c r="P25" s="6"/>
      <c r="Q25" s="6"/>
      <c r="R25" s="5">
        <v>2142</v>
      </c>
      <c r="S25" s="5"/>
      <c r="T25" s="1"/>
      <c r="U25" s="10"/>
      <c r="V25" s="1"/>
      <c r="W25" s="3"/>
      <c r="X25" s="1">
        <v>22</v>
      </c>
      <c r="Y25" s="7" t="s">
        <v>118</v>
      </c>
      <c r="Z25" s="6"/>
      <c r="AA25" s="6" t="s">
        <v>119</v>
      </c>
      <c r="AB25" s="6"/>
      <c r="AC25" s="5">
        <v>3132</v>
      </c>
      <c r="AD25" s="5"/>
      <c r="AE25" s="1">
        <v>259</v>
      </c>
      <c r="AF25" s="1">
        <v>155</v>
      </c>
      <c r="AG25" s="14">
        <f t="shared" si="2"/>
        <v>180</v>
      </c>
      <c r="AH25" s="1"/>
      <c r="AI25" s="3"/>
      <c r="AJ25" s="1">
        <v>22</v>
      </c>
      <c r="AK25" s="6"/>
      <c r="AL25" s="6"/>
      <c r="AM25" s="6"/>
      <c r="AN25" s="6"/>
      <c r="AO25" s="5">
        <v>1332</v>
      </c>
      <c r="AP25" s="5"/>
      <c r="AQ25" s="1"/>
      <c r="AR25" s="1"/>
      <c r="AS25" s="11"/>
      <c r="AT25" s="1"/>
      <c r="AU25" s="1"/>
      <c r="AV25" s="9"/>
      <c r="AW25" s="6"/>
      <c r="AX25" s="6"/>
      <c r="AY25" s="6"/>
      <c r="AZ25" s="6"/>
      <c r="BA25" s="5"/>
      <c r="BB25" s="5"/>
      <c r="BC25" s="1"/>
      <c r="BD25" s="1"/>
    </row>
    <row r="26" spans="1:56" x14ac:dyDescent="0.3">
      <c r="A26" s="1">
        <v>23</v>
      </c>
      <c r="B26" s="7" t="s">
        <v>51</v>
      </c>
      <c r="C26" s="6"/>
      <c r="D26" s="6" t="s">
        <v>36</v>
      </c>
      <c r="E26" s="6"/>
      <c r="F26" s="5">
        <v>1233</v>
      </c>
      <c r="G26" s="5"/>
      <c r="H26" s="1">
        <v>449</v>
      </c>
      <c r="I26" s="1">
        <v>405</v>
      </c>
      <c r="J26" s="12">
        <f t="shared" si="0"/>
        <v>469</v>
      </c>
      <c r="L26" s="3"/>
      <c r="M26" s="1">
        <v>23</v>
      </c>
      <c r="N26" s="6"/>
      <c r="O26" s="6"/>
      <c r="P26" s="6"/>
      <c r="Q26" s="6"/>
      <c r="R26" s="5">
        <v>2143</v>
      </c>
      <c r="S26" s="5"/>
      <c r="T26" s="1"/>
      <c r="U26" s="10"/>
      <c r="V26" s="1"/>
      <c r="W26" s="3"/>
      <c r="X26" s="1">
        <v>23</v>
      </c>
      <c r="Y26" s="7" t="s">
        <v>121</v>
      </c>
      <c r="Z26" s="6"/>
      <c r="AA26" s="6" t="s">
        <v>120</v>
      </c>
      <c r="AB26" s="6"/>
      <c r="AC26" s="5">
        <v>3133</v>
      </c>
      <c r="AD26" s="5"/>
      <c r="AE26" s="1">
        <v>149</v>
      </c>
      <c r="AF26" s="1">
        <v>119</v>
      </c>
      <c r="AG26" s="14">
        <f t="shared" si="2"/>
        <v>144</v>
      </c>
      <c r="AH26" s="1"/>
      <c r="AI26" s="3"/>
      <c r="AJ26" s="1">
        <v>23</v>
      </c>
      <c r="AK26" s="6"/>
      <c r="AL26" s="6"/>
      <c r="AM26" s="6"/>
      <c r="AN26" s="6"/>
      <c r="AO26" s="5">
        <v>1333</v>
      </c>
      <c r="AP26" s="5"/>
      <c r="AQ26" s="1"/>
      <c r="AR26" s="1"/>
      <c r="AS26" s="11"/>
      <c r="AT26" s="1"/>
      <c r="AU26" s="1"/>
      <c r="AV26" s="9"/>
      <c r="AW26" s="6"/>
      <c r="AX26" s="6"/>
      <c r="AY26" s="6"/>
      <c r="AZ26" s="6"/>
      <c r="BA26" s="5"/>
      <c r="BB26" s="5"/>
      <c r="BC26" s="1"/>
      <c r="BD26" s="1"/>
    </row>
    <row r="27" spans="1:56" x14ac:dyDescent="0.3">
      <c r="A27" s="1">
        <v>24</v>
      </c>
      <c r="B27" s="7" t="s">
        <v>53</v>
      </c>
      <c r="C27" s="6"/>
      <c r="D27" s="6" t="s">
        <v>52</v>
      </c>
      <c r="E27" s="6"/>
      <c r="F27" s="5">
        <v>1234</v>
      </c>
      <c r="G27" s="5"/>
      <c r="H27" s="1">
        <v>239</v>
      </c>
      <c r="I27" s="1">
        <v>165</v>
      </c>
      <c r="J27" s="12">
        <f t="shared" si="0"/>
        <v>259</v>
      </c>
      <c r="L27" s="3"/>
      <c r="M27" s="1">
        <v>24</v>
      </c>
      <c r="N27" s="6"/>
      <c r="O27" s="6"/>
      <c r="P27" s="6"/>
      <c r="Q27" s="6"/>
      <c r="R27" s="5">
        <v>2144</v>
      </c>
      <c r="S27" s="5"/>
      <c r="T27" s="1"/>
      <c r="U27" s="10"/>
      <c r="V27" s="1"/>
      <c r="W27" s="3"/>
      <c r="X27" s="1">
        <v>24</v>
      </c>
      <c r="Y27" s="7" t="s">
        <v>122</v>
      </c>
      <c r="Z27" s="6"/>
      <c r="AA27" s="6" t="s">
        <v>120</v>
      </c>
      <c r="AB27" s="6"/>
      <c r="AC27" s="5">
        <v>3134</v>
      </c>
      <c r="AD27" s="5"/>
      <c r="AE27" s="1">
        <v>169</v>
      </c>
      <c r="AF27" s="1">
        <v>135</v>
      </c>
      <c r="AG27" s="14">
        <f t="shared" si="2"/>
        <v>160</v>
      </c>
      <c r="AH27" s="1"/>
      <c r="AI27" s="3"/>
      <c r="AJ27" s="1">
        <v>24</v>
      </c>
      <c r="AK27" s="6"/>
      <c r="AL27" s="6"/>
      <c r="AM27" s="6"/>
      <c r="AN27" s="6"/>
      <c r="AO27" s="5">
        <v>1334</v>
      </c>
      <c r="AP27" s="5"/>
      <c r="AQ27" s="1"/>
      <c r="AR27" s="1"/>
      <c r="AS27" s="11"/>
      <c r="AT27" s="1"/>
      <c r="AU27" s="1"/>
      <c r="AV27" s="9"/>
      <c r="AW27" s="6"/>
      <c r="AX27" s="6"/>
      <c r="AY27" s="6"/>
      <c r="AZ27" s="6"/>
      <c r="BA27" s="5"/>
      <c r="BB27" s="5"/>
      <c r="BC27" s="1"/>
      <c r="BD27" s="1"/>
    </row>
    <row r="28" spans="1:56" x14ac:dyDescent="0.3">
      <c r="A28" s="1">
        <v>25</v>
      </c>
      <c r="B28" s="7" t="s">
        <v>55</v>
      </c>
      <c r="C28" s="6"/>
      <c r="D28" s="6" t="s">
        <v>54</v>
      </c>
      <c r="E28" s="6"/>
      <c r="F28" s="5">
        <v>1235</v>
      </c>
      <c r="G28" s="5"/>
      <c r="H28" s="1">
        <v>309</v>
      </c>
      <c r="I28" s="1"/>
      <c r="J28" s="12">
        <f t="shared" si="0"/>
        <v>329</v>
      </c>
      <c r="L28" s="3"/>
      <c r="M28" s="1">
        <v>25</v>
      </c>
      <c r="N28" s="6"/>
      <c r="O28" s="6"/>
      <c r="P28" s="6"/>
      <c r="Q28" s="6"/>
      <c r="R28" s="5">
        <v>2145</v>
      </c>
      <c r="S28" s="5"/>
      <c r="T28" s="1"/>
      <c r="U28" s="10"/>
      <c r="V28" s="1"/>
      <c r="W28" s="3"/>
      <c r="X28" s="1">
        <v>25</v>
      </c>
      <c r="Y28" s="7" t="s">
        <v>123</v>
      </c>
      <c r="Z28" s="6"/>
      <c r="AA28" s="6" t="s">
        <v>120</v>
      </c>
      <c r="AB28" s="6"/>
      <c r="AC28" s="5">
        <v>3135</v>
      </c>
      <c r="AD28" s="5"/>
      <c r="AE28" s="1">
        <v>179</v>
      </c>
      <c r="AF28" s="1">
        <v>143</v>
      </c>
      <c r="AG28" s="14">
        <f t="shared" si="2"/>
        <v>168</v>
      </c>
      <c r="AH28" s="1"/>
      <c r="AI28" s="3"/>
      <c r="AJ28" s="1">
        <v>25</v>
      </c>
      <c r="AK28" s="6"/>
      <c r="AL28" s="6"/>
      <c r="AM28" s="6"/>
      <c r="AN28" s="6"/>
      <c r="AO28" s="5">
        <v>1335</v>
      </c>
      <c r="AP28" s="5"/>
      <c r="AQ28" s="1"/>
      <c r="AR28" s="1"/>
      <c r="AS28" s="11"/>
      <c r="AT28" s="1"/>
      <c r="AU28" s="1"/>
      <c r="AV28" s="9"/>
      <c r="AW28" s="6"/>
      <c r="AX28" s="6"/>
      <c r="AY28" s="6"/>
      <c r="AZ28" s="6"/>
      <c r="BA28" s="5"/>
      <c r="BB28" s="5"/>
      <c r="BC28" s="1"/>
      <c r="BD28" s="1"/>
    </row>
    <row r="29" spans="1:56" x14ac:dyDescent="0.3">
      <c r="A29" s="1">
        <v>26</v>
      </c>
      <c r="B29" s="6"/>
      <c r="C29" s="6"/>
      <c r="D29" s="6"/>
      <c r="E29" s="6"/>
      <c r="F29" s="5">
        <v>1236</v>
      </c>
      <c r="G29" s="5"/>
      <c r="H29" s="1"/>
      <c r="I29" s="1"/>
      <c r="L29" s="3"/>
      <c r="M29" s="1">
        <v>26</v>
      </c>
      <c r="N29" s="6"/>
      <c r="O29" s="6"/>
      <c r="P29" s="6"/>
      <c r="Q29" s="6"/>
      <c r="R29" s="5">
        <v>2146</v>
      </c>
      <c r="S29" s="5"/>
      <c r="T29" s="1"/>
      <c r="U29" s="10"/>
      <c r="V29" s="1"/>
      <c r="W29" s="3"/>
      <c r="X29" s="1">
        <v>26</v>
      </c>
      <c r="Y29" s="7" t="s">
        <v>125</v>
      </c>
      <c r="Z29" s="6"/>
      <c r="AA29" s="6" t="s">
        <v>124</v>
      </c>
      <c r="AB29" s="6"/>
      <c r="AC29" s="5">
        <v>3136</v>
      </c>
      <c r="AD29" s="5"/>
      <c r="AE29" s="1">
        <v>439</v>
      </c>
      <c r="AF29" s="1">
        <v>319</v>
      </c>
      <c r="AG29" s="14">
        <f t="shared" si="2"/>
        <v>344</v>
      </c>
      <c r="AH29" s="1"/>
      <c r="AI29" s="3"/>
      <c r="AJ29" s="1">
        <v>26</v>
      </c>
      <c r="AK29" s="6"/>
      <c r="AL29" s="6"/>
      <c r="AM29" s="6"/>
      <c r="AN29" s="6"/>
      <c r="AO29" s="5"/>
      <c r="AP29" s="5"/>
      <c r="AQ29" s="1"/>
      <c r="AR29" s="1"/>
      <c r="AS29" s="2"/>
      <c r="AT29" s="1"/>
      <c r="AU29" s="1"/>
      <c r="AV29" s="9"/>
      <c r="AW29" s="6"/>
      <c r="AX29" s="6"/>
      <c r="AY29" s="6"/>
      <c r="AZ29" s="6"/>
      <c r="BA29" s="5"/>
      <c r="BB29" s="5"/>
      <c r="BC29" s="1"/>
      <c r="BD29" s="1"/>
    </row>
    <row r="30" spans="1:56" x14ac:dyDescent="0.3">
      <c r="A30" s="1">
        <v>27</v>
      </c>
      <c r="B30" s="6"/>
      <c r="C30" s="6"/>
      <c r="L30" s="3"/>
      <c r="W30" s="3"/>
      <c r="X30" s="1">
        <v>27</v>
      </c>
      <c r="Y30" s="7" t="s">
        <v>127</v>
      </c>
      <c r="Z30" s="6"/>
      <c r="AA30" s="6" t="s">
        <v>126</v>
      </c>
      <c r="AB30" s="6"/>
      <c r="AC30" s="5">
        <v>3137</v>
      </c>
      <c r="AD30" s="5"/>
      <c r="AE30" s="1">
        <v>299</v>
      </c>
      <c r="AF30" s="1">
        <v>222</v>
      </c>
      <c r="AG30" s="14">
        <f t="shared" si="2"/>
        <v>247</v>
      </c>
      <c r="AI30" s="3"/>
      <c r="AJ30" s="1">
        <v>27</v>
      </c>
      <c r="AK30" s="6"/>
      <c r="AL30" s="6"/>
      <c r="AV30" s="3"/>
    </row>
    <row r="31" spans="1:56" x14ac:dyDescent="0.3">
      <c r="L31" s="3"/>
      <c r="W31" s="3"/>
      <c r="X31" s="1">
        <v>28</v>
      </c>
      <c r="Y31" s="4"/>
      <c r="Z31" s="4"/>
      <c r="AA31" s="4"/>
      <c r="AB31" s="4"/>
      <c r="AC31" s="5">
        <v>3138</v>
      </c>
      <c r="AD31" s="5"/>
      <c r="AI31" s="3"/>
      <c r="AR31" s="8"/>
      <c r="AS31" s="8"/>
      <c r="AT31" s="8"/>
      <c r="AV31" s="3"/>
    </row>
    <row r="32" spans="1:56" x14ac:dyDescent="0.3">
      <c r="L32" s="3"/>
      <c r="W32" s="3"/>
      <c r="X32" s="1">
        <v>29</v>
      </c>
      <c r="Y32" s="4"/>
      <c r="Z32" s="4"/>
      <c r="AA32" s="4"/>
      <c r="AB32" s="4"/>
      <c r="AC32" s="5">
        <v>3139</v>
      </c>
      <c r="AD32" s="5"/>
      <c r="AI32" s="3"/>
      <c r="AR32" s="8"/>
      <c r="AS32" s="8"/>
      <c r="AT32" s="8"/>
    </row>
    <row r="33" spans="24:46" x14ac:dyDescent="0.3">
      <c r="X33" s="1">
        <v>30</v>
      </c>
      <c r="Y33" s="4"/>
      <c r="Z33" s="4"/>
      <c r="AA33" s="4"/>
      <c r="AB33" s="4"/>
      <c r="AC33" s="5">
        <v>3140</v>
      </c>
      <c r="AD33" s="5"/>
      <c r="AR33" s="8"/>
      <c r="AS33" s="8"/>
      <c r="AT33" s="8"/>
    </row>
    <row r="34" spans="24:46" x14ac:dyDescent="0.3">
      <c r="X34" s="1">
        <v>31</v>
      </c>
      <c r="Y34" s="4"/>
      <c r="Z34" s="4"/>
      <c r="AA34" s="4"/>
      <c r="AB34" s="4"/>
      <c r="AC34" s="5">
        <v>3141</v>
      </c>
      <c r="AD34" s="5"/>
      <c r="AR34" s="8"/>
      <c r="AS34" s="8"/>
      <c r="AT34" s="8"/>
    </row>
    <row r="35" spans="24:46" x14ac:dyDescent="0.3">
      <c r="X35" s="1">
        <v>32</v>
      </c>
      <c r="Y35" s="4"/>
      <c r="Z35" s="4"/>
      <c r="AA35" s="4"/>
      <c r="AB35" s="4"/>
      <c r="AC35" s="5">
        <v>3142</v>
      </c>
      <c r="AD35" s="5"/>
      <c r="AR35" s="8"/>
      <c r="AS35" s="8"/>
      <c r="AT35" s="8"/>
    </row>
    <row r="36" spans="24:46" x14ac:dyDescent="0.3">
      <c r="X36" s="1">
        <v>33</v>
      </c>
      <c r="Y36" s="4"/>
      <c r="Z36" s="4"/>
      <c r="AA36" s="4"/>
      <c r="AB36" s="4"/>
      <c r="AC36" s="5">
        <v>3143</v>
      </c>
      <c r="AD36" s="5"/>
      <c r="AR36" s="8"/>
      <c r="AS36" s="8"/>
      <c r="AT36" s="8"/>
    </row>
    <row r="37" spans="24:46" x14ac:dyDescent="0.3">
      <c r="X37" s="1">
        <v>34</v>
      </c>
      <c r="Y37" s="4"/>
      <c r="Z37" s="4"/>
      <c r="AA37" s="4"/>
      <c r="AB37" s="4"/>
      <c r="AC37" s="5">
        <v>3144</v>
      </c>
      <c r="AD37" s="5"/>
    </row>
    <row r="38" spans="24:46" x14ac:dyDescent="0.3">
      <c r="X38" s="1">
        <v>35</v>
      </c>
      <c r="Y38" s="4"/>
      <c r="Z38" s="4"/>
      <c r="AA38" s="4"/>
      <c r="AB38" s="4"/>
      <c r="AC38" s="5">
        <v>3145</v>
      </c>
      <c r="AD38" s="5"/>
    </row>
    <row r="39" spans="24:46" x14ac:dyDescent="0.3">
      <c r="X39" s="1">
        <v>36</v>
      </c>
      <c r="Y39" s="4"/>
      <c r="Z39" s="4"/>
      <c r="AA39" s="4"/>
      <c r="AB39" s="4"/>
      <c r="AC39" s="5">
        <v>3146</v>
      </c>
      <c r="AD39" s="5"/>
    </row>
    <row r="40" spans="24:46" x14ac:dyDescent="0.3">
      <c r="X40" s="1">
        <v>37</v>
      </c>
      <c r="Y40" s="4"/>
      <c r="Z40" s="4"/>
      <c r="AA40" s="4"/>
      <c r="AB40" s="4"/>
      <c r="AC40" s="5">
        <v>3147</v>
      </c>
      <c r="AD40" s="5"/>
    </row>
    <row r="41" spans="24:46" x14ac:dyDescent="0.3">
      <c r="X41" s="1">
        <v>38</v>
      </c>
      <c r="Y41" s="4"/>
      <c r="Z41" s="4"/>
      <c r="AA41" s="4"/>
      <c r="AB41" s="4"/>
      <c r="AC41" s="5">
        <v>3148</v>
      </c>
      <c r="AD41" s="5"/>
    </row>
    <row r="42" spans="24:46" x14ac:dyDescent="0.3">
      <c r="X42" s="1">
        <v>39</v>
      </c>
      <c r="Y42" s="4"/>
      <c r="Z42" s="4"/>
      <c r="AA42" s="4"/>
      <c r="AB42" s="4"/>
      <c r="AC42" s="5">
        <v>3149</v>
      </c>
      <c r="AD42" s="5"/>
    </row>
    <row r="43" spans="24:46" x14ac:dyDescent="0.3">
      <c r="Y43" s="4"/>
      <c r="Z43" s="4"/>
      <c r="AA43" s="4"/>
      <c r="AB43" s="4"/>
    </row>
    <row r="44" spans="24:46" x14ac:dyDescent="0.3">
      <c r="Y44" s="4"/>
      <c r="Z44" s="4"/>
    </row>
  </sheetData>
  <mergeCells count="459">
    <mergeCell ref="AK1:AS1"/>
    <mergeCell ref="AK2:AS2"/>
    <mergeCell ref="AK30:AL30"/>
    <mergeCell ref="B26:C26"/>
    <mergeCell ref="D26:E26"/>
    <mergeCell ref="F26:G26"/>
    <mergeCell ref="B29:C29"/>
    <mergeCell ref="D29:E29"/>
    <mergeCell ref="F29:G29"/>
    <mergeCell ref="B30:C30"/>
    <mergeCell ref="B27:C27"/>
    <mergeCell ref="D27:E27"/>
    <mergeCell ref="F27:G27"/>
    <mergeCell ref="B28:C28"/>
    <mergeCell ref="D28:E28"/>
    <mergeCell ref="F28:G28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0:C20"/>
    <mergeCell ref="D20:E20"/>
    <mergeCell ref="F20:G20"/>
    <mergeCell ref="B21:C21"/>
    <mergeCell ref="D21:E21"/>
    <mergeCell ref="F21:G21"/>
    <mergeCell ref="B22:C22"/>
    <mergeCell ref="D22:E22"/>
    <mergeCell ref="F22:G22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5:C5"/>
    <mergeCell ref="D5:E5"/>
    <mergeCell ref="F5:G5"/>
    <mergeCell ref="B6:C6"/>
    <mergeCell ref="D6:E6"/>
    <mergeCell ref="F6:G6"/>
    <mergeCell ref="B7:C7"/>
    <mergeCell ref="D7:E7"/>
    <mergeCell ref="F7:G7"/>
    <mergeCell ref="B4:C4"/>
    <mergeCell ref="D4:E4"/>
    <mergeCell ref="F4:G4"/>
    <mergeCell ref="N1:U1"/>
    <mergeCell ref="N2:U2"/>
    <mergeCell ref="N3:O3"/>
    <mergeCell ref="P3:Q3"/>
    <mergeCell ref="R3:S3"/>
    <mergeCell ref="N4:O4"/>
    <mergeCell ref="P4:Q4"/>
    <mergeCell ref="R4:S4"/>
    <mergeCell ref="B1:J1"/>
    <mergeCell ref="B2:J2"/>
    <mergeCell ref="B3:C3"/>
    <mergeCell ref="D3:E3"/>
    <mergeCell ref="F3:G3"/>
    <mergeCell ref="N7:O7"/>
    <mergeCell ref="P7:Q7"/>
    <mergeCell ref="R7:S7"/>
    <mergeCell ref="N8:O8"/>
    <mergeCell ref="P8:Q8"/>
    <mergeCell ref="R8:S8"/>
    <mergeCell ref="N5:O5"/>
    <mergeCell ref="P5:Q5"/>
    <mergeCell ref="R5:S5"/>
    <mergeCell ref="N6:O6"/>
    <mergeCell ref="P6:Q6"/>
    <mergeCell ref="R6:S6"/>
    <mergeCell ref="N11:O11"/>
    <mergeCell ref="P11:Q11"/>
    <mergeCell ref="R11:S11"/>
    <mergeCell ref="N12:O12"/>
    <mergeCell ref="P12:Q12"/>
    <mergeCell ref="R12:S12"/>
    <mergeCell ref="N9:O9"/>
    <mergeCell ref="P9:Q9"/>
    <mergeCell ref="R9:S9"/>
    <mergeCell ref="N10:O10"/>
    <mergeCell ref="P10:Q10"/>
    <mergeCell ref="R10:S10"/>
    <mergeCell ref="P18:Q18"/>
    <mergeCell ref="R18:S18"/>
    <mergeCell ref="N15:O15"/>
    <mergeCell ref="P15:Q15"/>
    <mergeCell ref="R15:S15"/>
    <mergeCell ref="N16:O16"/>
    <mergeCell ref="P16:Q16"/>
    <mergeCell ref="R16:S16"/>
    <mergeCell ref="N13:O13"/>
    <mergeCell ref="P13:Q13"/>
    <mergeCell ref="R13:S13"/>
    <mergeCell ref="N14:O14"/>
    <mergeCell ref="P14:Q14"/>
    <mergeCell ref="R14:S14"/>
    <mergeCell ref="Y5:Z5"/>
    <mergeCell ref="AA5:AB5"/>
    <mergeCell ref="AC5:AD5"/>
    <mergeCell ref="Y6:Z6"/>
    <mergeCell ref="AA6:AB6"/>
    <mergeCell ref="N27:O27"/>
    <mergeCell ref="P27:Q27"/>
    <mergeCell ref="R27:S27"/>
    <mergeCell ref="N28:O28"/>
    <mergeCell ref="P28:Q28"/>
    <mergeCell ref="R28:S28"/>
    <mergeCell ref="N25:O25"/>
    <mergeCell ref="P25:Q25"/>
    <mergeCell ref="R25:S25"/>
    <mergeCell ref="N26:O26"/>
    <mergeCell ref="P26:Q26"/>
    <mergeCell ref="R26:S26"/>
    <mergeCell ref="N23:O23"/>
    <mergeCell ref="P23:Q23"/>
    <mergeCell ref="R23:S23"/>
    <mergeCell ref="N24:O24"/>
    <mergeCell ref="P24:Q24"/>
    <mergeCell ref="R24:S24"/>
    <mergeCell ref="N21:O21"/>
    <mergeCell ref="Y7:Z7"/>
    <mergeCell ref="AA7:AB7"/>
    <mergeCell ref="AC7:AD7"/>
    <mergeCell ref="Y8:Z8"/>
    <mergeCell ref="AA8:AB8"/>
    <mergeCell ref="AC8:AD8"/>
    <mergeCell ref="N29:O29"/>
    <mergeCell ref="P29:Q29"/>
    <mergeCell ref="R29:S29"/>
    <mergeCell ref="P21:Q21"/>
    <mergeCell ref="R21:S21"/>
    <mergeCell ref="N22:O22"/>
    <mergeCell ref="P22:Q22"/>
    <mergeCell ref="R22:S22"/>
    <mergeCell ref="N19:O19"/>
    <mergeCell ref="P19:Q19"/>
    <mergeCell ref="R19:S19"/>
    <mergeCell ref="N20:O20"/>
    <mergeCell ref="P20:Q20"/>
    <mergeCell ref="R20:S20"/>
    <mergeCell ref="N17:O17"/>
    <mergeCell ref="P17:Q17"/>
    <mergeCell ref="R17:S17"/>
    <mergeCell ref="N18:O18"/>
    <mergeCell ref="Y11:Z11"/>
    <mergeCell ref="AA11:AB11"/>
    <mergeCell ref="AC11:AD11"/>
    <mergeCell ref="Y12:Z12"/>
    <mergeCell ref="AA12:AB12"/>
    <mergeCell ref="AC12:AD12"/>
    <mergeCell ref="Y9:Z9"/>
    <mergeCell ref="AA9:AB9"/>
    <mergeCell ref="AC9:AD9"/>
    <mergeCell ref="Y10:Z10"/>
    <mergeCell ref="AA10:AB10"/>
    <mergeCell ref="AC10:AD10"/>
    <mergeCell ref="Y15:Z15"/>
    <mergeCell ref="AA15:AB15"/>
    <mergeCell ref="AC15:AD15"/>
    <mergeCell ref="Y16:Z16"/>
    <mergeCell ref="AA16:AB16"/>
    <mergeCell ref="AC16:AD16"/>
    <mergeCell ref="Y13:Z13"/>
    <mergeCell ref="AA13:AB13"/>
    <mergeCell ref="AC13:AD13"/>
    <mergeCell ref="Y14:Z14"/>
    <mergeCell ref="AA14:AB14"/>
    <mergeCell ref="AC14:AD14"/>
    <mergeCell ref="Y19:Z19"/>
    <mergeCell ref="AA19:AB19"/>
    <mergeCell ref="AC19:AD19"/>
    <mergeCell ref="Y20:Z20"/>
    <mergeCell ref="AA20:AB20"/>
    <mergeCell ref="AC20:AD20"/>
    <mergeCell ref="Y17:Z17"/>
    <mergeCell ref="AA17:AB17"/>
    <mergeCell ref="AC17:AD17"/>
    <mergeCell ref="Y18:Z18"/>
    <mergeCell ref="AA18:AB18"/>
    <mergeCell ref="AC18:AD18"/>
    <mergeCell ref="Y23:Z23"/>
    <mergeCell ref="AA23:AB23"/>
    <mergeCell ref="AC23:AD23"/>
    <mergeCell ref="Y24:Z24"/>
    <mergeCell ref="AA24:AB24"/>
    <mergeCell ref="AC24:AD24"/>
    <mergeCell ref="Y21:Z21"/>
    <mergeCell ref="AA21:AB21"/>
    <mergeCell ref="AC21:AD21"/>
    <mergeCell ref="Y22:Z22"/>
    <mergeCell ref="AA22:AB22"/>
    <mergeCell ref="AC22:AD22"/>
    <mergeCell ref="Y27:Z27"/>
    <mergeCell ref="AA27:AB27"/>
    <mergeCell ref="AC27:AD27"/>
    <mergeCell ref="Y28:Z28"/>
    <mergeCell ref="AA28:AB28"/>
    <mergeCell ref="AC28:AD28"/>
    <mergeCell ref="Y25:Z25"/>
    <mergeCell ref="AA25:AB25"/>
    <mergeCell ref="AC25:AD25"/>
    <mergeCell ref="Y26:Z26"/>
    <mergeCell ref="AA26:AB26"/>
    <mergeCell ref="AC26:AD26"/>
    <mergeCell ref="AA29:AB29"/>
    <mergeCell ref="AC29:AD29"/>
    <mergeCell ref="AK3:AL3"/>
    <mergeCell ref="AM3:AN3"/>
    <mergeCell ref="AO3:AP3"/>
    <mergeCell ref="AK4:AL4"/>
    <mergeCell ref="AM4:AN4"/>
    <mergeCell ref="AO4:AP4"/>
    <mergeCell ref="AK5:AL5"/>
    <mergeCell ref="AM5:AN5"/>
    <mergeCell ref="AO5:AP5"/>
    <mergeCell ref="AK6:AL6"/>
    <mergeCell ref="AM6:AN6"/>
    <mergeCell ref="AC6:AD6"/>
    <mergeCell ref="Y1:AG1"/>
    <mergeCell ref="Y2:AG2"/>
    <mergeCell ref="Y3:Z3"/>
    <mergeCell ref="AA3:AB3"/>
    <mergeCell ref="AC3:AD3"/>
    <mergeCell ref="Y4:Z4"/>
    <mergeCell ref="AA4:AB4"/>
    <mergeCell ref="AC4:AD4"/>
    <mergeCell ref="AK9:AL9"/>
    <mergeCell ref="AM9:AN9"/>
    <mergeCell ref="AO9:AP9"/>
    <mergeCell ref="AK10:AL10"/>
    <mergeCell ref="AM10:AN10"/>
    <mergeCell ref="AO10:AP10"/>
    <mergeCell ref="AO6:AP6"/>
    <mergeCell ref="AK7:AL7"/>
    <mergeCell ref="AM7:AN7"/>
    <mergeCell ref="AO7:AP7"/>
    <mergeCell ref="AK8:AL8"/>
    <mergeCell ref="AM8:AN8"/>
    <mergeCell ref="AO8:AP8"/>
    <mergeCell ref="AK13:AL13"/>
    <mergeCell ref="AM13:AN13"/>
    <mergeCell ref="AO13:AP13"/>
    <mergeCell ref="AK14:AL14"/>
    <mergeCell ref="AM14:AN14"/>
    <mergeCell ref="AO14:AP14"/>
    <mergeCell ref="AK11:AL11"/>
    <mergeCell ref="AM11:AN11"/>
    <mergeCell ref="AO11:AP11"/>
    <mergeCell ref="AK12:AL12"/>
    <mergeCell ref="AM12:AN12"/>
    <mergeCell ref="AO12:AP12"/>
    <mergeCell ref="AK17:AL17"/>
    <mergeCell ref="AM17:AN17"/>
    <mergeCell ref="AO17:AP17"/>
    <mergeCell ref="AK18:AL18"/>
    <mergeCell ref="AM18:AN18"/>
    <mergeCell ref="AO18:AP18"/>
    <mergeCell ref="AK15:AL15"/>
    <mergeCell ref="AM15:AN15"/>
    <mergeCell ref="AO15:AP15"/>
    <mergeCell ref="AK16:AL16"/>
    <mergeCell ref="AM16:AN16"/>
    <mergeCell ref="AO16:AP16"/>
    <mergeCell ref="AK21:AL21"/>
    <mergeCell ref="AM21:AN21"/>
    <mergeCell ref="AO21:AP21"/>
    <mergeCell ref="AK22:AL22"/>
    <mergeCell ref="AM22:AN22"/>
    <mergeCell ref="AO22:AP22"/>
    <mergeCell ref="AK19:AL19"/>
    <mergeCell ref="AM19:AN19"/>
    <mergeCell ref="AO19:AP19"/>
    <mergeCell ref="AK20:AL20"/>
    <mergeCell ref="AM20:AN20"/>
    <mergeCell ref="AO20:AP20"/>
    <mergeCell ref="AK25:AL25"/>
    <mergeCell ref="AM25:AN25"/>
    <mergeCell ref="AO25:AP25"/>
    <mergeCell ref="AK26:AL26"/>
    <mergeCell ref="AM26:AN26"/>
    <mergeCell ref="AO26:AP26"/>
    <mergeCell ref="AK23:AL23"/>
    <mergeCell ref="AM23:AN23"/>
    <mergeCell ref="AO23:AP23"/>
    <mergeCell ref="AK24:AL24"/>
    <mergeCell ref="AM24:AN24"/>
    <mergeCell ref="AO24:AP24"/>
    <mergeCell ref="AW1:BD1"/>
    <mergeCell ref="AW2:BD2"/>
    <mergeCell ref="AW3:AX3"/>
    <mergeCell ref="AY3:AZ3"/>
    <mergeCell ref="BA3:BB3"/>
    <mergeCell ref="AW4:AX4"/>
    <mergeCell ref="AY4:AZ4"/>
    <mergeCell ref="BA4:BB4"/>
    <mergeCell ref="AW5:AX5"/>
    <mergeCell ref="AY5:AZ5"/>
    <mergeCell ref="BA5:BB5"/>
    <mergeCell ref="AW9:AX9"/>
    <mergeCell ref="AY9:AZ9"/>
    <mergeCell ref="BA9:BB9"/>
    <mergeCell ref="AW10:AX10"/>
    <mergeCell ref="AY10:AZ10"/>
    <mergeCell ref="BA10:BB10"/>
    <mergeCell ref="BA6:BB6"/>
    <mergeCell ref="AW7:AX7"/>
    <mergeCell ref="AY7:AZ7"/>
    <mergeCell ref="BA7:BB7"/>
    <mergeCell ref="AW8:AX8"/>
    <mergeCell ref="AY8:AZ8"/>
    <mergeCell ref="BA8:BB8"/>
    <mergeCell ref="AW6:AX6"/>
    <mergeCell ref="AY6:AZ6"/>
    <mergeCell ref="AW13:AX13"/>
    <mergeCell ref="AY13:AZ13"/>
    <mergeCell ref="BA13:BB13"/>
    <mergeCell ref="AW14:AX14"/>
    <mergeCell ref="AY14:AZ14"/>
    <mergeCell ref="BA14:BB14"/>
    <mergeCell ref="AW11:AX11"/>
    <mergeCell ref="AY11:AZ11"/>
    <mergeCell ref="BA11:BB11"/>
    <mergeCell ref="AW12:AX12"/>
    <mergeCell ref="AY12:AZ12"/>
    <mergeCell ref="BA12:BB12"/>
    <mergeCell ref="AW17:AX17"/>
    <mergeCell ref="AY17:AZ17"/>
    <mergeCell ref="BA17:BB17"/>
    <mergeCell ref="AW18:AX18"/>
    <mergeCell ref="AY18:AZ18"/>
    <mergeCell ref="BA18:BB18"/>
    <mergeCell ref="AW15:AX15"/>
    <mergeCell ref="AY15:AZ15"/>
    <mergeCell ref="BA15:BB15"/>
    <mergeCell ref="AW16:AX16"/>
    <mergeCell ref="AY16:AZ16"/>
    <mergeCell ref="BA16:BB16"/>
    <mergeCell ref="AW21:AX21"/>
    <mergeCell ref="AY21:AZ21"/>
    <mergeCell ref="BA21:BB21"/>
    <mergeCell ref="AW22:AX22"/>
    <mergeCell ref="AY22:AZ22"/>
    <mergeCell ref="BA22:BB22"/>
    <mergeCell ref="AW19:AX19"/>
    <mergeCell ref="AY19:AZ19"/>
    <mergeCell ref="BA19:BB19"/>
    <mergeCell ref="AW20:AX20"/>
    <mergeCell ref="AY20:AZ20"/>
    <mergeCell ref="BA20:BB20"/>
    <mergeCell ref="AW25:AX25"/>
    <mergeCell ref="AY25:AZ25"/>
    <mergeCell ref="BA25:BB25"/>
    <mergeCell ref="AW26:AX26"/>
    <mergeCell ref="AY26:AZ26"/>
    <mergeCell ref="BA26:BB26"/>
    <mergeCell ref="AW23:AX23"/>
    <mergeCell ref="AY23:AZ23"/>
    <mergeCell ref="BA23:BB23"/>
    <mergeCell ref="AW24:AX24"/>
    <mergeCell ref="AY24:AZ24"/>
    <mergeCell ref="BA24:BB24"/>
    <mergeCell ref="Y34:Z34"/>
    <mergeCell ref="Y35:Z35"/>
    <mergeCell ref="AW29:AX29"/>
    <mergeCell ref="AY29:AZ29"/>
    <mergeCell ref="BA29:BB29"/>
    <mergeCell ref="Y30:Z30"/>
    <mergeCell ref="AA30:AB30"/>
    <mergeCell ref="AC30:AD30"/>
    <mergeCell ref="AW27:AX27"/>
    <mergeCell ref="AY27:AZ27"/>
    <mergeCell ref="BA27:BB27"/>
    <mergeCell ref="AW28:AX28"/>
    <mergeCell ref="AY28:AZ28"/>
    <mergeCell ref="BA28:BB28"/>
    <mergeCell ref="AK29:AL29"/>
    <mergeCell ref="AM29:AN29"/>
    <mergeCell ref="AO29:AP29"/>
    <mergeCell ref="AK27:AL27"/>
    <mergeCell ref="AM27:AN27"/>
    <mergeCell ref="AO27:AP27"/>
    <mergeCell ref="AK28:AL28"/>
    <mergeCell ref="AM28:AN28"/>
    <mergeCell ref="AO28:AP28"/>
    <mergeCell ref="Y29:Z29"/>
    <mergeCell ref="Y41:Z41"/>
    <mergeCell ref="Y42:Z42"/>
    <mergeCell ref="Y43:Z43"/>
    <mergeCell ref="Y44:Z44"/>
    <mergeCell ref="AA31:AB31"/>
    <mergeCell ref="AA32:AB32"/>
    <mergeCell ref="AA33:AB33"/>
    <mergeCell ref="AA34:AB34"/>
    <mergeCell ref="AA35:AB35"/>
    <mergeCell ref="AA36:AB36"/>
    <mergeCell ref="AA37:AB37"/>
    <mergeCell ref="AA38:AB38"/>
    <mergeCell ref="AA39:AB39"/>
    <mergeCell ref="AA40:AB40"/>
    <mergeCell ref="AA41:AB41"/>
    <mergeCell ref="AA42:AB42"/>
    <mergeCell ref="Y36:Z36"/>
    <mergeCell ref="Y37:Z37"/>
    <mergeCell ref="Y38:Z38"/>
    <mergeCell ref="Y39:Z39"/>
    <mergeCell ref="Y40:Z40"/>
    <mergeCell ref="Y31:Z31"/>
    <mergeCell ref="Y32:Z32"/>
    <mergeCell ref="Y33:Z33"/>
    <mergeCell ref="AA43:AB43"/>
    <mergeCell ref="AC31:AD31"/>
    <mergeCell ref="AC32:AD32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42:AD42"/>
  </mergeCells>
  <hyperlinks>
    <hyperlink ref="B4" r:id="rId1" location="searchVariation=175817554407&amp;position=4&amp;search_layout=grid&amp;type=item&amp;tracking_id=786acde9-2181-4838-806a-1e719e7dc2b2" xr:uid="{023823AF-0435-4DDE-B034-54A52772C631}"/>
    <hyperlink ref="B5" r:id="rId2" location="searchVariation=176841943650&amp;position=6&amp;search_layout=grid&amp;type=item&amp;tracking_id=eda1cecc-aadb-459d-ab8d-599384f09e7f" display="https://articulo.mercadolibre.com.pe/MPE-627859357-zapatillas-adidas-mujer-urbanas-court-plataforma-gv8995-_JM?searchVariation=176841943650#searchVariation=176841943650&amp;position=6&amp;search_layout=grid&amp;type=item&amp;tracking_id=eda1cecc-aadb-459d-ab8d-599384f09e7f" xr:uid="{DB30A665-53D5-43C1-BDC2-C8FA6E15D772}"/>
    <hyperlink ref="B6" r:id="rId3" location="searchVariation=174941727647&amp;position=5&amp;search_layout=grid&amp;type=item&amp;tracking_id=00defa14-f4cc-410c-ad51-a7a2c64ad576" xr:uid="{136ED2F2-B4F6-427D-BFE4-31703CD94105}"/>
    <hyperlink ref="B7" r:id="rId4" location="searchVariation=174444412012&amp;position=8&amp;search_layout=grid&amp;type=item&amp;tracking_id=4e1cd21c-3052-4ebb-ae3f-7f8e1b1c38b5" xr:uid="{57F52365-E2F7-430C-AA57-1055E6D85DDA}"/>
    <hyperlink ref="B8" r:id="rId5" location="searchVariation=175641835304&amp;position=9&amp;search_layout=grid&amp;type=item&amp;tracking_id=cf43176a-1ffd-4cf6-92b8-a0932b0771b4" xr:uid="{9C1D9318-16D2-4FDE-8BED-A34226313D6C}"/>
    <hyperlink ref="B9" r:id="rId6" location="reco_item_pos=0&amp;reco_backend=machinalis-seller-items&amp;reco_backend_type=low_level&amp;reco_client=vip-seller_items-above&amp;reco_id=a6745c84-c151-46aa-b53f-c103c1e90f3a" xr:uid="{5373DAEC-893F-4CC2-B53B-F222A3E9CAAF}"/>
    <hyperlink ref="B10" r:id="rId7" location="reco_item_pos=1&amp;reco_backend=machinalis-seller-items&amp;reco_backend_type=low_level&amp;reco_client=vip-seller_items-above&amp;reco_id=a6745c84-c151-46aa-b53f-c103c1e90f3a" display="https://articulo.mercadolibre.com.pe/MPE-624939192-power-zapatillas-deportivas-para-mujer-blanco-_JM#reco_item_pos=1&amp;reco_backend=machinalis-seller-items&amp;reco_backend_type=low_level&amp;reco_client=vip-seller_items-above&amp;reco_id=a6745c84-c151-46aa-b53f-c103c1e90f3a" xr:uid="{92B86433-ECEA-4CE4-9D90-5C757C4752B2}"/>
    <hyperlink ref="B11" r:id="rId8" location="reco_item_pos=2&amp;reco_backend=machinalis-seller-items&amp;reco_backend_type=low_level&amp;reco_client=vip-seller_items-above&amp;reco_id=a6745c84-c151-46aa-b53f-c103c1e90f3a" display="https://articulo.mercadolibre.com.pe/MPE-620416528-north-star-zapatillas-urbana-mujer-melody-_JM#reco_item_pos=2&amp;reco_backend=machinalis-seller-items&amp;reco_backend_type=low_level&amp;reco_client=vip-seller_items-above&amp;reco_id=a6745c84-c151-46aa-b53f-c103c1e90f3a" xr:uid="{58C6408B-2030-4777-9B3A-B679B3A27D38}"/>
    <hyperlink ref="B12" r:id="rId9" location="reco_item_pos=1&amp;reco_backend=machinalis-seller-items&amp;reco_backend_type=low_level&amp;reco_client=vip-seller_items-above&amp;reco_id=7dd8d639-0f23-415f-9ebe-d0d86f4c517b" xr:uid="{C56DF86E-FC16-4E1C-839D-02A5BA464B33}"/>
    <hyperlink ref="B13" r:id="rId10" location="reco_item_pos=5&amp;reco_backend=machinalis-seller-items&amp;reco_backend_type=low_level&amp;reco_client=vip-seller_items-above&amp;reco_id=a6745c84-c151-46aa-b53f-c103c1e90f3a" display="https://articulo.mercadolibre.com.pe/MPE-624883087-north-star-zapatillas-urbanas-para-mujer-blanco-_JM#reco_item_pos=5&amp;reco_backend=machinalis-seller-items&amp;reco_backend_type=low_level&amp;reco_client=vip-seller_items-above&amp;reco_id=a6745c84-c151-46aa-b53f-c103c1e90f3a" xr:uid="{09860E08-CDF1-4205-ABAB-E93F619CADF3}"/>
    <hyperlink ref="B14" r:id="rId11" location="searchVariation=175418413762&amp;position=10&amp;search_layout=grid&amp;type=item&amp;tracking_id=61196477-7ba2-4fd9-8f9c-5d210039c466" display="https://articulo.mercadolibre.com.pe/MPE-618811697-zapatillas-adidas-mujer-urbanas-adidas-grand-court-gw9261-_JM?searchVariation=175418413762#searchVariation=175418413762&amp;position=10&amp;search_layout=grid&amp;type=item&amp;tracking_id=61196477-7ba2-4fd9-8f9c-5d210039c466" xr:uid="{4527B474-778A-4EAA-94D2-06EEF983758B}"/>
    <hyperlink ref="B15" r:id="rId12" location="reco_item_pos=4&amp;reco_backend=machinalis-seller-items&amp;reco_backend_type=low_level&amp;reco_client=vip-seller_items-above&amp;reco_id=f0ba7973-cb60-4ebc-a4cd-1ce14dddb918" display="https://articulo.mercadolibre.com.pe/MPE-618798692-zapatillas-adidas-hombre-urbanas-adidas-grand-court-gw9252-_JM#reco_item_pos=4&amp;reco_backend=machinalis-seller-items&amp;reco_backend_type=low_level&amp;reco_client=vip-seller_items-above&amp;reco_id=f0ba7973-cb60-4ebc-a4cd-1ce14dddb918" xr:uid="{37719F7C-1B0D-449D-86DC-414189C1CA49}"/>
    <hyperlink ref="B16" r:id="rId13" location="reco_item_pos=0&amp;reco_backend=machinalis-seller-items&amp;reco_backend_type=low_level&amp;reco_client=vip-seller_items-above&amp;reco_id=0d2e0289-df95-4192-9fe7-7eb10c41d6a2" display="https://articulo.mercadolibre.com.pe/MPE-627808219-zapatillas-adidas-hombre-urbanas-grand-court-base-ee7900-_JM?variation=176841956073#reco_item_pos=0&amp;reco_backend=machinalis-seller-items&amp;reco_backend_type=low_level&amp;reco_client=vip-seller_items-above&amp;reco_id=0d2e0289-df95-4192-9fe7-7eb10c41d6a2" xr:uid="{9D4DAFCC-7CE8-4EE2-9525-DF32DEFE5454}"/>
    <hyperlink ref="B17" r:id="rId14" location="searchVariation=175418391077&amp;position=11&amp;search_layout=grid&amp;type=item&amp;tracking_id=305571fb-36cd-4c23-a79b-6416506cf0b4" xr:uid="{2B3EE2BB-EBDE-451F-A8F6-1BD31BE9F866}"/>
    <hyperlink ref="B18" r:id="rId15" location="reco_item_pos=1&amp;reco_backend=machinalis-seller-items&amp;reco_backend_type=low_level&amp;reco_client=vip-seller_items-above&amp;reco_id=3db6b016-8fa3-46dc-8b48-bc571942e800" display="https://articulo.mercadolibre.com.pe/MPE-618900906-zapatillas-adidas-mujer-outdoor-terrex-ax3-gore-tex-ef3365-_JM#reco_item_pos=1&amp;reco_backend=machinalis-seller-items&amp;reco_backend_type=low_level&amp;reco_client=vip-seller_items-above&amp;reco_id=3db6b016-8fa3-46dc-8b48-bc571942e800" xr:uid="{80000245-4F19-45E2-943D-CD78531EBD86}"/>
    <hyperlink ref="B19" r:id="rId16" location="reco_item_pos=0&amp;reco_backend=machinalis-seller-items&amp;reco_backend_type=low_level&amp;reco_client=vip-seller_items-above&amp;reco_id=9af3d91e-3390-4f51-8403-faf83f131231" display="https://articulo.mercadolibre.com.pe/MPE-627801553-botin-adidas-hombre-outdoor-terrex-ax3-mid-gore-tex-bc0466-_JM?variation=176841962024#reco_item_pos=0&amp;reco_backend=machinalis-seller-items&amp;reco_backend_type=low_level&amp;reco_client=vip-seller_items-above&amp;reco_id=9af3d91e-3390-4f51-8403-faf83f131231" xr:uid="{50983EFB-C74E-44F5-9C52-DDCCEEAFB108}"/>
    <hyperlink ref="B20" r:id="rId17" location="reco_item_pos=0&amp;reco_backend=machinalis-seller-items&amp;reco_backend_type=low_level&amp;reco_client=vip-seller_items-above&amp;reco_id=e7218868-0d6a-48ee-a824-2ba7a1d45180" display="https://articulo.mercadolibre.com.pe/MPE-618900906-zapatillas-adidas-mujer-outdoor-terrex-ax3-gore-tex-ef3365-_JM#reco_item_pos=0&amp;reco_backend=machinalis-seller-items&amp;reco_backend_type=low_level&amp;reco_client=vip-seller_items-above&amp;reco_id=e7218868-0d6a-48ee-a824-2ba7a1d45180" xr:uid="{69D2F174-B665-4D96-A77B-7FCB76ED79AA}"/>
    <hyperlink ref="B21" r:id="rId18" location="reco_item_pos=1&amp;reco_backend=machinalis-seller-items&amp;reco_backend_type=low_level&amp;reco_client=vip-seller_items-above&amp;reco_id=b5f80935-bb90-44eb-8766-3434055e1745" display="https://articulo.mercadolibre.com.pe/MPE-618926789-zapatillas-adidas-hombre-outdoor-terrex-ax4-gy8321-_JM#reco_item_pos=1&amp;reco_backend=machinalis-seller-items&amp;reco_backend_type=low_level&amp;reco_client=vip-seller_items-above&amp;reco_id=b5f80935-bb90-44eb-8766-3434055e1745" xr:uid="{155DD15F-FA21-4617-9280-A906F1C7D22F}"/>
    <hyperlink ref="B22" r:id="rId19" location="searchVariation=176507806954&amp;position=13&amp;search_layout=grid&amp;type=item&amp;tracking_id=df7618c7-51bd-4982-bc51-d423b2984669" xr:uid="{9DCB7484-6905-464C-A457-E7D7DE60BEE4}"/>
    <hyperlink ref="B23" r:id="rId20" location="searchVariation=175498175456&amp;position=16&amp;search_layout=grid&amp;type=item&amp;tracking_id=b5da6600-419d-41b5-b898-2d8902c0eb37" display="https://articulo.mercadolibre.com.pe/MPE-619603342-zapatillas-adidas-mujer-running-start-your-run-gy9231-_JM?searchVariation=175498175456#searchVariation=175498175456&amp;position=16&amp;search_layout=grid&amp;type=item&amp;tracking_id=b5da6600-419d-41b5-b898-2d8902c0eb37" xr:uid="{0AE0C7CF-95A2-4FDA-8F07-0A87D10B9939}"/>
    <hyperlink ref="B24" r:id="rId21" location="searchVariation=175418385628&amp;position=14&amp;search_layout=grid&amp;type=item&amp;tracking_id=55521773-e6eb-441f-88cc-f3714a84a5a9" xr:uid="{2C9A5E40-030A-4CC1-8DCE-EC2F5C86C50D}"/>
    <hyperlink ref="B25" r:id="rId22" location="searchVariation=175872400653&amp;position=15&amp;search_layout=grid&amp;type=item&amp;tracking_id=4bcb447d-6031-4b9c-aba6-95bd2c75fea4" xr:uid="{49A9819C-21BD-4289-891B-0EF819B47484}"/>
    <hyperlink ref="B26" r:id="rId23" location="searchVariation=175418397257&amp;position=23&amp;search_layout=grid&amp;type=item&amp;tracking_id=e648ea6c-3df7-4f5a-a4fb-27e6dfa91935" display="https://articulo.mercadolibre.com.pe/MPE-618900906-zapatillas-adidas-mujer-outdoor-terrex-ax3-gore-tex-ef3365-_JM?searchVariation=175418397257#searchVariation=175418397257&amp;position=23&amp;search_layout=grid&amp;type=item&amp;tracking_id=e648ea6c-3df7-4f5a-a4fb-27e6dfa91935" xr:uid="{FB7F399A-2FC6-4E91-A8F5-8EFDA40CA05C}"/>
    <hyperlink ref="B27" r:id="rId24" location="searchVariation=176761894113&amp;position=25&amp;search_layout=grid&amp;type=item&amp;tracking_id=02932111-e01b-42e5-9dae-ab3718448f82" xr:uid="{D12DF4E4-49B6-4D94-8656-AD68BDCA7F36}"/>
    <hyperlink ref="B28" r:id="rId25" location="searchVariation=175579088503&amp;position=36&amp;search_layout=grid&amp;type=item&amp;tracking_id=aac5a397-dba3-4699-a4e2-71d42588d557" display="https://articulo.mercadolibre.com.pe/MPE-620155140-zapatillas-skechers-lander-s-neutral-suededuraleather-mujer-_JM?searchVariation=175579088503#searchVariation=175579088503&amp;position=36&amp;search_layout=grid&amp;type=item&amp;tracking_id=aac5a397-dba3-4699-a4e2-71d42588d557" xr:uid="{DA04D2C6-4316-46B5-BC09-25CAD1CB3199}"/>
    <hyperlink ref="N4" r:id="rId26" location="reco_item_pos=0&amp;reco_backend=machinalis-seller-items&amp;reco_backend_type=low_level&amp;reco_client=vip-seller_items-above&amp;reco_id=51342774-7840-4f5f-bb6d-832dbb1fb15f" display="https://articulo.mercadolibre.com.pe/MPE-447855939-bombert-jacket-de-hombre-chaquete-de-hombre-casaca-_JM#reco_item_pos=0&amp;reco_backend=machinalis-seller-items&amp;reco_backend_type=low_level&amp;reco_client=vip-seller_items-above&amp;reco_id=51342774-7840-4f5f-bb6d-832dbb1fb15f" xr:uid="{C784A98B-4AD6-4594-B20B-41FB948F3B4B}"/>
    <hyperlink ref="N5" r:id="rId27" location="reco_item_pos=0&amp;reco_backend=machinalis-seller-items&amp;reco_backend_type=low_level&amp;reco_client=vip-seller_items-above&amp;reco_id=37e0d528-9440-4b37-ac8c-b440dfa6b557" xr:uid="{8D7EA889-6EA1-43AB-919F-969134796B9D}"/>
    <hyperlink ref="N6" r:id="rId28" location="reco_item_pos=3&amp;reco_backend=machinalis-seller-items&amp;reco_backend_type=low_level&amp;reco_client=vip-seller_items-above&amp;reco_id=92bf7739-51bf-48dd-829a-1f710290e116" display="https://articulo.mercadolibre.com.pe/MPE-616600460-cafarenas-de-hombre-estilo-casual-100-algodon-_JM#reco_item_pos=3&amp;reco_backend=machinalis-seller-items&amp;reco_backend_type=low_level&amp;reco_client=vip-seller_items-above&amp;reco_id=92bf7739-51bf-48dd-829a-1f710290e116" xr:uid="{3B3DF417-FB6A-40FA-85C1-31F02C54FE33}"/>
    <hyperlink ref="N7" r:id="rId29" location="reco_item_pos=2&amp;reco_backend=machinalis-seller-items&amp;reco_backend_type=low_level&amp;reco_client=vip-seller_items-above&amp;reco_id=4e57d0d2-30ab-4448-a3f4-564fb0c28a64" display="https://articulo.mercadolibre.com.pe/MPE-440228944-sudaderas-hoodie-poleras-p-hombre-por-und-y-por-mayor-_JM#reco_item_pos=2&amp;reco_backend=machinalis-seller-items&amp;reco_backend_type=low_level&amp;reco_client=vip-seller_items-above&amp;reco_id=4e57d0d2-30ab-4448-a3f4-564fb0c28a64" xr:uid="{B5DD479A-F4C2-4B93-86FE-1F8F8CA71A92}"/>
    <hyperlink ref="N8" r:id="rId30" location="reco_item_pos=7&amp;reco_backend=machinalis-seller-items&amp;reco_backend_type=low_level&amp;reco_client=vip-seller_items-above&amp;reco_id=5ab5af9e-d172-4cb5-a3cf-c0bfd7da32ed" display="https://articulo.mercadolibre.com.pe/MPE-441845781-pack-de-3-shorts-basicos-de-hombre-100-algodon--_JM#reco_item_pos=7&amp;reco_backend=machinalis-seller-items&amp;reco_backend_type=low_level&amp;reco_client=vip-seller_items-above&amp;reco_id=5ab5af9e-d172-4cb5-a3cf-c0bfd7da32ed" xr:uid="{F1319E0D-4CBC-4B43-9E60-5AF9F7864BD9}"/>
    <hyperlink ref="N9" r:id="rId31" location="reco_item_pos=0&amp;reco_backend=machinalis-seller-items&amp;reco_backend_type=low_level&amp;reco_client=vip-seller_items-above&amp;reco_id=69a11a0e-4dda-4828-abaf-face114d9a04" display="https://articulo.mercadolibre.com.pe/MPE-443121665-short-corto-de-hombre-100-algodon-3-pack-_JM#reco_item_pos=0&amp;reco_backend=machinalis-seller-items&amp;reco_backend_type=low_level&amp;reco_client=vip-seller_items-above&amp;reco_id=69a11a0e-4dda-4828-abaf-face114d9a04" xr:uid="{D21A48EA-8054-44B6-9729-5CC9A4664EBC}"/>
    <hyperlink ref="N10" r:id="rId32" location="reco_item_pos=3&amp;reco_backend=machinalis-seller-items&amp;reco_backend_type=low_level&amp;reco_client=vip-seller_items-above&amp;reco_id=df93dc29-ad7b-4d73-93f2-e0af483da041" display="https://articulo.mercadolibre.com.pe/MPE-441316490-pack-de-3-buzo-jogger-de-hombre-100-algodon-slim-_JM#reco_item_pos=3&amp;reco_backend=machinalis-seller-items&amp;reco_backend_type=low_level&amp;reco_client=vip-seller_items-above&amp;reco_id=df93dc29-ad7b-4d73-93f2-e0af483da041" xr:uid="{FD89F5F4-1558-4A71-AA87-6B52A91FE41F}"/>
    <hyperlink ref="N11" r:id="rId33" location="reco_item_pos=0&amp;reco_backend=machinalis-seller-items&amp;reco_backend_type=low_level&amp;reco_client=vip-seller_items-above&amp;reco_id=f4587fa6-fcc1-4093-85f8-deb2e84cd596&amp;gid=1&amp;pid=1" display="https://articulo.mercadolibre.com.pe/MPE-621385662-jogger-cargo-pantalon-con-bolsillo-cargo-_JM#reco_item_pos=0&amp;reco_backend=machinalis-seller-items&amp;reco_backend_type=low_level&amp;reco_client=vip-seller_items-above&amp;reco_id=f4587fa6-fcc1-4093-85f8-deb2e84cd596&amp;gid=1&amp;pid=1" xr:uid="{DA4416B7-B184-4F9F-BBCD-652F534B02F9}"/>
    <hyperlink ref="N12" r:id="rId34" location="reco_item_pos=1&amp;reco_backend=machinalis-seller-items&amp;reco_backend_type=low_level&amp;reco_client=vip-seller_items-above&amp;reco_id=72dca038-5b95-4a7f-b5bb-0bf77e4b66e3" display="https://articulo.mercadolibre.com.pe/MPE-440271657-conjunto-de-franela-sudadera-con-capucha-jogger-_JM#reco_item_pos=1&amp;reco_backend=machinalis-seller-items&amp;reco_backend_type=low_level&amp;reco_client=vip-seller_items-above&amp;reco_id=72dca038-5b95-4a7f-b5bb-0bf77e4b66e3" xr:uid="{D8DB1779-D08E-4585-B99A-0697C1E11AFA}"/>
    <hyperlink ref="Y4" r:id="rId35" location="searchVariation=175100468482&amp;position=1&amp;search_layout=grid&amp;type=item&amp;tracking_id=e6890aa6-d865-4f60-934f-34ef36b0119c" display="https://articulo.mercadolibre.com.pe/MPE-616743269-zapatillas-adidas-hombre-futbol-goletto-viii-tf-gy5775-_JM?searchVariation=175100468482#searchVariation=175100468482&amp;position=1&amp;search_layout=grid&amp;type=item&amp;tracking_id=e6890aa6-d865-4f60-934f-34ef36b0119c" xr:uid="{5F59830F-AA45-4E93-9A44-2B39FB908DE0}"/>
    <hyperlink ref="Y5" r:id="rId36" location="reco_item_pos=2&amp;reco_backend=machinalis-seller-items&amp;reco_backend_type=low_level&amp;reco_client=vip-seller_items-above&amp;reco_id=e18bddd0-aa00-410b-ab7b-7810fc6b6bc6" display="https://articulo.mercadolibre.com.pe/MPE-627565407-zapatillas-adidas-hombre-futbol-deportivo-ii-tf-hp2519-_JM#reco_item_pos=2&amp;reco_backend=machinalis-seller-items&amp;reco_backend_type=low_level&amp;reco_client=vip-seller_items-above&amp;reco_id=e18bddd0-aa00-410b-ab7b-7810fc6b6bc6" xr:uid="{E31DEF40-7714-45F5-9F7E-2FB04722CCE3}"/>
    <hyperlink ref="Y6" r:id="rId37" location="reco_item_pos=5&amp;reco_backend=machinalis-seller-items&amp;reco_backend_type=low_level&amp;reco_client=vip-seller_items-above&amp;reco_id=b09feb57-b739-4da0-bc2e-11cbf0c53dbf" display="https://articulo.mercadolibre.com.pe/MPE-623717712-zapatillas-adidas-unisex-deportivas-tensaur-sport-gw6422-_JM?variation=176118405388#reco_item_pos=5&amp;reco_backend=machinalis-seller-items&amp;reco_backend_type=low_level&amp;reco_client=vip-seller_items-above&amp;reco_id=b09feb57-b739-4da0-bc2e-11cbf0c53dbf" xr:uid="{E65DC131-A064-49AB-9DED-B1CC2DA1F1AD}"/>
    <hyperlink ref="Y7" r:id="rId38" location="reco_item_pos=2&amp;reco_backend=machinalis-seller-items&amp;reco_backend_type=low_level&amp;reco_client=vip-seller_items-above&amp;reco_id=4526b6da-0686-4c22-b0c9-874544da1d17" display="https://articulo.mercadolibre.com.pe/MPE-630438998-zapatillas-reebok-hombre-urbanas-royal-glide-gz2323-_JM#reco_item_pos=2&amp;reco_backend=machinalis-seller-items&amp;reco_backend_type=low_level&amp;reco_client=vip-seller_items-above&amp;reco_id=4526b6da-0686-4c22-b0c9-874544da1d17" xr:uid="{9E07F0E5-3251-4D38-BAEA-7FAA94DCE668}"/>
    <hyperlink ref="Y8" r:id="rId39" location="reco_item_pos=1&amp;reco_backend=machinalis-seller-items&amp;reco_backend_type=low_level&amp;reco_client=vip-seller_items-above&amp;reco_id=5e2d684b-3ee3-4606-8cb5-915b83021c39" display="https://articulo.mercadolibre.com.pe/MPE-623717712-zapatillas-adidas-unisex-deportivas-tensaur-sport-gw6422-_JM?variation=176118405388#reco_item_pos=1&amp;reco_backend=machinalis-seller-items&amp;reco_backend_type=low_level&amp;reco_client=vip-seller_items-above&amp;reco_id=5e2d684b-3ee3-4606-8cb5-915b83021c39" xr:uid="{844C72C2-A919-4A19-92F0-609468FEAFEE}"/>
    <hyperlink ref="Y9" r:id="rId40" location="reco_item_pos=4&amp;reco_backend=machinalis-seller-items&amp;reco_backend_type=low_level&amp;reco_client=vip-seller_items-above&amp;reco_id=b0720112-0bcf-4ae7-8130-88e0ae80a602" display="https://articulo.mercadolibre.com.pe/MPE-627520820-botin-adidas-hombre-urbanas-hoops-30-hp7895-_JM#reco_item_pos=4&amp;reco_backend=machinalis-seller-items&amp;reco_backend_type=low_level&amp;reco_client=vip-seller_items-above&amp;reco_id=b0720112-0bcf-4ae7-8130-88e0ae80a602" xr:uid="{37734514-A84C-4997-838F-A3E1399593E0}"/>
    <hyperlink ref="Y10" r:id="rId41" location="reco_item_pos=5&amp;reco_backend=machinalis-seller-items&amp;reco_backend_type=low_level&amp;reco_client=vip-seller_items-above&amp;reco_id=a69d7aa2-3d2c-49d6-b42f-a5f39041909b" display="https://articulo.mercadolibre.com.pe/MPE-615086331-zapatillas-avia-hombre-urbanas-aston-12-500299-1-_JM#reco_item_pos=5&amp;reco_backend=machinalis-seller-items&amp;reco_backend_type=low_level&amp;reco_client=vip-seller_items-above&amp;reco_id=a69d7aa2-3d2c-49d6-b42f-a5f39041909b" xr:uid="{0FC45C75-EC34-4004-80E0-C63A6763470C}"/>
    <hyperlink ref="Y11" r:id="rId42" location="reco_item_pos=2&amp;reco_backend=machinalis-seller-items&amp;reco_backend_type=low_level&amp;reco_client=vip-seller_items-above&amp;reco_id=22c40085-c7f9-4a22-8145-4b5af7a90cd1" display="https://articulo.mercadolibre.com.pe/MPE-627546836-zapatillas-reebok-hombre-urbanas-turbo-restyle-gw7831-_JM#reco_item_pos=2&amp;reco_backend=machinalis-seller-items&amp;reco_backend_type=low_level&amp;reco_client=vip-seller_items-above&amp;reco_id=22c40085-c7f9-4a22-8145-4b5af7a90cd1" xr:uid="{1E2D21E7-CD15-4A4B-87BF-9B4AB2828181}"/>
    <hyperlink ref="Y12" r:id="rId43" location="reco_item_pos=14&amp;reco_backend=machinalis-seller-items&amp;reco_backend_type=low_level&amp;reco_client=vip-seller_items-above&amp;reco_id=f9e7f009-4e09-4f5e-9355-3a6b81fd1372" display="https://articulo.mercadolibre.com.pe/MPE-612859020-zapatillas-reebok-hombre-outdoor-ridgerider-6-gx2249-_JM#reco_item_pos=14&amp;reco_backend=machinalis-seller-items&amp;reco_backend_type=low_level&amp;reco_client=vip-seller_items-above&amp;reco_id=f9e7f009-4e09-4f5e-9355-3a6b81fd1372" xr:uid="{A86C0EB1-5907-40C5-BD22-737EB35CC715}"/>
    <hyperlink ref="Y13" r:id="rId44" location="reco_item_pos=2&amp;reco_backend=machinalis-seller-items&amp;reco_backend_type=low_level&amp;reco_client=vip-seller_items-above&amp;reco_id=678e8afa-d465-41ff-8b43-41f3adcdbaf3" display="https://articulo.mercadolibre.com.pe/MPE-612914258-zapatillas-adidas-hombre-outdoor-tracerocker-20-gz8916-_JM#reco_item_pos=2&amp;reco_backend=machinalis-seller-items&amp;reco_backend_type=low_level&amp;reco_client=vip-seller_items-above&amp;reco_id=678e8afa-d465-41ff-8b43-41f3adcdbaf3" xr:uid="{C8D51EAA-43B4-49CC-BE20-E7B1E4B52805}"/>
    <hyperlink ref="Y14" r:id="rId45" location="reco_item_pos=18&amp;reco_backend=machinalis-seller-items&amp;reco_backend_type=low_level&amp;reco_client=vip-seller_items-above&amp;reco_id=5e2d684b-3ee3-4606-8cb5-915b83021c39" display="https://articulo.mercadolibre.com.pe/MPE-612045968-botin-nike-hombre-urbano-court-vision-mid-nn-dn3577-101-_JM#reco_item_pos=18&amp;reco_backend=machinalis-seller-items&amp;reco_backend_type=low_level&amp;reco_client=vip-seller_items-above&amp;reco_id=5e2d684b-3ee3-4606-8cb5-915b83021c39" xr:uid="{46EDBA89-DB16-4CDE-918A-EA7C053F1EC7}"/>
    <hyperlink ref="Y15" r:id="rId46" location="reco_item_pos=5&amp;reco_backend=machinalis-seller-items&amp;reco_backend_type=low_level&amp;reco_client=vip-seller_items-above&amp;reco_id=1cd75d74-f7ba-4678-97d4-da45677312f2" display="https://articulo.mercadolibre.com.pe/MPE-621032593-botin-nike-hombre-air-force-1-high-07-premium-dv1015-437-_JM?variation=175703908646#reco_item_pos=5&amp;reco_backend=machinalis-seller-items&amp;reco_backend_type=low_level&amp;reco_client=vip-seller_items-above&amp;reco_id=1cd75d74-f7ba-4678-97d4-da45677312f2" xr:uid="{7532FD4E-E0A4-488B-A264-D3037836EFAC}"/>
    <hyperlink ref="Y16" r:id="rId47" location="reco_item_pos=2&amp;reco_backend=machinalis-seller-items&amp;reco_backend_type=low_level&amp;reco_client=vip-seller_items-above&amp;reco_id=5f2060cd-1731-4de4-8755-2463e67a6ea1" display="https://articulo.mercadolibre.com.pe/MPE-615086331-zapatillas-avia-hombre-urbanas-aston-12-500299-1-_JM#reco_item_pos=2&amp;reco_backend=machinalis-seller-items&amp;reco_backend_type=low_level&amp;reco_client=vip-seller_items-above&amp;reco_id=5f2060cd-1731-4de4-8755-2463e67a6ea1" xr:uid="{C73B8877-A718-450E-B7A6-0E3E9455FFA7}"/>
    <hyperlink ref="Y17" r:id="rId48" location="reco_item_pos=3&amp;reco_backend=machinalis-seller-items&amp;reco_backend_type=low_level&amp;reco_client=vip-seller_items-above&amp;reco_id=5008e78e-5ae6-4010-b1d3-c094bc1a8fe7" display="https://articulo.mercadolibre.com.pe/MPE-627514403-botin-avia-hombre-basketball-leon-12-500516-3-_JM#reco_item_pos=3&amp;reco_backend=machinalis-seller-items&amp;reco_backend_type=low_level&amp;reco_client=vip-seller_items-above&amp;reco_id=5008e78e-5ae6-4010-b1d3-c094bc1a8fe7" xr:uid="{F084634B-AF86-4FE8-B212-A3FEA775082A}"/>
    <hyperlink ref="Y18" r:id="rId49" location="reco_item_pos=6&amp;reco_backend=machinalis-seller-items&amp;reco_backend_type=low_level&amp;reco_client=vip-seller_items-above&amp;reco_id=e2e61e7c-66f2-428b-b8de-cb35649fc385" display="https://articulo.mercadolibre.com.pe/MPE-619616394-botin-nike-hombre-urbanas-sb-zoom-blazer-mid-iso-dr9092-100-_JM?variation=175498108930#reco_item_pos=6&amp;reco_backend=machinalis-seller-items&amp;reco_backend_type=low_level&amp;reco_client=vip-seller_items-above&amp;reco_id=e2e61e7c-66f2-428b-b8de-cb35649fc385" xr:uid="{E5ED239E-DC72-4C11-A8B3-1385FAB19932}"/>
    <hyperlink ref="Y19" r:id="rId50" location="reco_item_pos=17&amp;reco_backend=machinalis-seller-items&amp;reco_backend_type=low_level&amp;reco_client=vip-seller_items-above&amp;reco_id=6040a13c-d3b4-4d2d-8ba6-b5ac61a8e67f" display="https://articulo.mercadolibre.com.pe/MPE-616749719-zapatillas-nike-hombre-urbanas-court-royale-2-dh3160-001-_JM#reco_item_pos=17&amp;reco_backend=machinalis-seller-items&amp;reco_backend_type=low_level&amp;reco_client=vip-seller_items-above&amp;reco_id=6040a13c-d3b4-4d2d-8ba6-b5ac61a8e67f" xr:uid="{16BE4E6C-D90B-47F9-838D-B72C769382EC}"/>
    <hyperlink ref="Y20" r:id="rId51" location="reco_item_pos=8&amp;reco_backend=machinalis-seller-items&amp;reco_backend_type=low_level&amp;reco_client=vip-seller_items-above&amp;reco_id=a3f8e502-ba60-4e22-adcd-1134ab974a94" display="https://articulo.mercadolibre.com.pe/MPE-618431000-botin-nike-hombre-sb-blzr-court-mid-premium-dh7479-001-_JM?variation=175366323217#reco_item_pos=8&amp;reco_backend=machinalis-seller-items&amp;reco_backend_type=low_level&amp;reco_client=vip-seller_items-above&amp;reco_id=a3f8e502-ba60-4e22-adcd-1134ab974a94" xr:uid="{2A4A4C0A-8B8F-41F9-9F9E-61AF65A5D7A9}"/>
    <hyperlink ref="Y21" r:id="rId52" location="reco_item_pos=1&amp;reco_backend=machinalis-seller-items&amp;reco_backend_type=low_level&amp;reco_client=vip-seller_items-above&amp;reco_id=9c469db8-38a3-4e92-bedc-a3fecb33ed11" display="https://articulo.mercadolibre.com.pe/MPE-619011971-botin-nike-mujer-urbanas-court-legacy-cnvs-mid-dd0161-001-_JM?variation=175432953940#reco_item_pos=1&amp;reco_backend=machinalis-seller-items&amp;reco_backend_type=low_level&amp;reco_client=vip-seller_items-above&amp;reco_id=9c469db8-38a3-4e92-bedc-a3fecb33ed11" xr:uid="{282D5388-AE39-4259-9D3B-502DFDEDEDA4}"/>
    <hyperlink ref="Y22" r:id="rId53" location="searchVariation=175892951330&amp;position=15&amp;search_layout=grid&amp;type=item&amp;tracking_id=42026945-f511-4b10-8f6b-77a8c1ef14fb" xr:uid="{1ED212FD-208E-4B2D-A5D1-E48D4B45C2BD}"/>
    <hyperlink ref="Y23" r:id="rId54" location="reco_item_pos=0&amp;reco_backend=machinalis-seller-items&amp;reco_backend_type=low_level&amp;reco_client=vip-seller_items-above&amp;reco_id=e4f54dc7-8c87-41af-bc0d-56c4b5828766" display="https://articulo.mercadolibre.com.pe/MPE-628771328-zapatillas-asics-noosa-tri-14-diva-pinkblack-hombre-_JM#reco_item_pos=0&amp;reco_backend=machinalis-seller-items&amp;reco_backend_type=low_level&amp;reco_client=vip-seller_items-above&amp;reco_id=e4f54dc7-8c87-41af-bc0d-56c4b5828766" xr:uid="{65E3C2AB-CF4F-4375-B7D0-12D3EA1D079D}"/>
    <hyperlink ref="Y24" r:id="rId55" location="searchVariation=176540564572&amp;position=23&amp;search_layout=grid&amp;type=item&amp;tracking_id=35cc0991-b956-4f1a-8a70-300432ef539c" display="https://articulo.mercadolibre.com.pe/MPE-626751715-zapatillas-urbanas-hombre-new-balance-400-beige-gm400md1-_JM?searchVariation=176540564572#searchVariation=176540564572&amp;position=23&amp;search_layout=grid&amp;type=item&amp;tracking_id=35cc0991-b956-4f1a-8a70-300432ef539c" xr:uid="{AE79F8CF-3CB6-4D6C-BA5A-82066D87727F}"/>
    <hyperlink ref="Y25" r:id="rId56" location="reco_item_pos=0&amp;reco_backend=machinalis-seller-items&amp;reco_backend_type=low_level&amp;reco_client=vip-seller_items-above&amp;reco_id=9f10cd45-7d79-4b0e-902c-3f59f08e3ab6" display="https://articulo.mercadolibre.com.pe/MPE-626738629-zapatillas-urbanas-hombre-new-balance-400-negro-gm400ma1-_JM#reco_item_pos=0&amp;reco_backend=machinalis-seller-items&amp;reco_backend_type=low_level&amp;reco_client=vip-seller_items-above&amp;reco_id=9f10cd45-7d79-4b0e-902c-3f59f08e3ab6" xr:uid="{C70E7082-329A-4079-BD53-B6D8BD7103D2}"/>
    <hyperlink ref="Y26" r:id="rId57" location="searchVariation=176343027129&amp;position=39&amp;search_layout=grid&amp;type=item&amp;tracking_id=aa3346cc-b787-4f33-97d6-62fe570f47ad" xr:uid="{10085BDD-09CF-432D-B0AB-3EB483681A0B}"/>
    <hyperlink ref="Y27" r:id="rId58" location="reco_item_pos=2&amp;reco_backend=machinalis-seller-items&amp;reco_backend_type=low_level&amp;reco_client=vip-seller_items-above&amp;reco_id=82696144-2b88-4e14-96aa-de7131c8cb2d" display="https://articulo.mercadolibre.com.pe/MPE-624825056-north-star-zapatillas-urbanas-para-hombre-blanco-_JM#reco_item_pos=2&amp;reco_backend=machinalis-seller-items&amp;reco_backend_type=low_level&amp;reco_client=vip-seller_items-above&amp;reco_id=82696144-2b88-4e14-96aa-de7131c8cb2d" xr:uid="{039D5C91-336B-496E-90D0-DAEDF5A2A0EA}"/>
    <hyperlink ref="Y28" r:id="rId59" location="reco_item_pos=5&amp;reco_backend=machinalis-v2p&amp;reco_backend_type=low_level&amp;reco_client=vip-v2p&amp;reco_id=c1fc7ebc-1de8-4b56-9103-b2fc4662a65e" display="https://articulo.mercadolibre.com.pe/MPE-624939196-north-star-zapatillas-urbanas-para-hombre-blanco-_JM?variation=176342972269#reco_item_pos=5&amp;reco_backend=machinalis-v2p&amp;reco_backend_type=low_level&amp;reco_client=vip-v2p&amp;reco_id=c1fc7ebc-1de8-4b56-9103-b2fc4662a65e" xr:uid="{C8459650-C7B4-4F68-99B5-7E8A351A629A}"/>
    <hyperlink ref="Y29" r:id="rId60" location="searchVariation=175499173428&amp;position=9&amp;search_layout=grid&amp;type=item&amp;tracking_id=f22a22ed-8b6a-42ea-a66d-aed70a43d98d" display="https://articulo.mercadolibre.com.pe/MPE-619616470-botin-under-armour-hombre-basketball-lockdown-6-3025616-002-_JM?searchVariation=175499173428#searchVariation=175499173428&amp;position=9&amp;search_layout=grid&amp;type=item&amp;tracking_id=f22a22ed-8b6a-42ea-a66d-aed70a43d98d" xr:uid="{896A0A8F-768E-4CBA-B661-441701280578}"/>
    <hyperlink ref="Y30" r:id="rId61" location="reco_item_pos=2&amp;reco_backend=machinalis-seller-items&amp;reco_backend_type=low_level&amp;reco_client=vip-seller_items-above&amp;reco_id=eb51bc6b-5c99-4be8-9e4e-041cc1542b8b" display="https://articulo.mercadolibre.com.pe/MPE-626876432-botin-under-armour-ninos-basketball-lockdown-5-3023533-601-_JM#reco_item_pos=2&amp;reco_backend=machinalis-seller-items&amp;reco_backend_type=low_level&amp;reco_client=vip-seller_items-above&amp;reco_id=eb51bc6b-5c99-4be8-9e4e-041cc1542b8b" xr:uid="{767A229C-B7BA-45A4-985B-CF9E61839C6B}"/>
    <hyperlink ref="AK4" r:id="rId62" location="searchVariation=176994947427&amp;position=7&amp;search_layout=grid&amp;type=item&amp;tracking_id=1968a4f0-abf7-4fc3-a975-186f591526fa" xr:uid="{04C970C1-8911-46FE-B29F-1A77970E9EC4}"/>
    <hyperlink ref="AK5" r:id="rId63" location="position=4&amp;search_layout=grid&amp;type=item&amp;tracking_id=a93c2cad-72d7-4552-9ec3-9bd815eedaaf" xr:uid="{2C549585-DC41-443F-BF37-687606149021}"/>
    <hyperlink ref="AK6" r:id="rId64" location="position=48&amp;search_layout=grid&amp;type=item&amp;tracking_id=b53bc477-0a45-472a-aeb8-85a8d9cbcf4d" xr:uid="{AD6CC81C-720F-44EE-BA93-E1A78AA539BD}"/>
    <hyperlink ref="AK7" r:id="rId65" location="searchVariation=51753057317&amp;position=1&amp;search_layout=grid&amp;type=item&amp;tracking_id=4c811976-eed1-4131-8ae9-c50b547370a7" xr:uid="{DEC842BB-455D-4FED-9E10-A6780A444811}"/>
  </hyperlinks>
  <pageMargins left="0.7" right="0.7" top="0.75" bottom="0.75" header="0.3" footer="0.3"/>
  <pageSetup orientation="portrait" horizontalDpi="4294967293" verticalDpi="0" r:id="rId6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</dc:creator>
  <cp:lastModifiedBy>Alfredo</cp:lastModifiedBy>
  <dcterms:created xsi:type="dcterms:W3CDTF">2023-04-16T15:04:59Z</dcterms:created>
  <dcterms:modified xsi:type="dcterms:W3CDTF">2023-04-23T22:24:52Z</dcterms:modified>
</cp:coreProperties>
</file>